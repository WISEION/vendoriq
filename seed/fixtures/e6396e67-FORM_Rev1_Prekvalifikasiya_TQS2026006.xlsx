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nico-user\Desktop\"/>
    </mc:Choice>
  </mc:AlternateContent>
  <xr:revisionPtr revIDLastSave="0" documentId="13_ncr:1_{2BD4881C-834A-4751-977C-6E45B0A2A7DF}" xr6:coauthVersionLast="47" xr6:coauthVersionMax="47" xr10:uidLastSave="{00000000-0000-0000-0000-000000000000}"/>
  <bookViews>
    <workbookView xWindow="-108" yWindow="-16308" windowWidth="29016" windowHeight="15696" tabRatio="500" xr2:uid="{00000000-000D-0000-FFFF-FFFF00000000}"/>
  </bookViews>
  <sheets>
    <sheet name="1. Bal Sxemi" sheetId="1" r:id="rId1"/>
    <sheet name="2. İştirakçı Məlumatları" sheetId="2" r:id="rId2"/>
    <sheet name="3. Cavablar (Xam Göstəricilər)" sheetId="3" r:id="rId3"/>
    <sheet name="4. Bal Hesablaması" sheetId="4" r:id="rId4"/>
    <sheet name="5. Nəticə Xülasəsi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22" i="5" l="1"/>
  <c r="P22" i="5"/>
  <c r="D22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S49" i="4"/>
  <c r="Q23" i="5" s="1"/>
  <c r="M49" i="4"/>
  <c r="K23" i="5" s="1"/>
  <c r="S48" i="4"/>
  <c r="R48" i="4"/>
  <c r="R49" i="4" s="1"/>
  <c r="P23" i="5" s="1"/>
  <c r="Q48" i="4"/>
  <c r="O22" i="5" s="1"/>
  <c r="P48" i="4"/>
  <c r="P49" i="4" s="1"/>
  <c r="N23" i="5" s="1"/>
  <c r="O48" i="4"/>
  <c r="O49" i="4" s="1"/>
  <c r="M23" i="5" s="1"/>
  <c r="N48" i="4"/>
  <c r="L22" i="5" s="1"/>
  <c r="M48" i="4"/>
  <c r="K22" i="5" s="1"/>
  <c r="L48" i="4"/>
  <c r="J22" i="5" s="1"/>
  <c r="K48" i="4"/>
  <c r="K49" i="4" s="1"/>
  <c r="I23" i="5" s="1"/>
  <c r="J48" i="4"/>
  <c r="H22" i="5" s="1"/>
  <c r="I48" i="4"/>
  <c r="G22" i="5" s="1"/>
  <c r="H48" i="4"/>
  <c r="H49" i="4" s="1"/>
  <c r="F23" i="5" s="1"/>
  <c r="G48" i="4"/>
  <c r="E22" i="5" s="1"/>
  <c r="F48" i="4"/>
  <c r="E48" i="4"/>
  <c r="C22" i="5" s="1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S35" i="4"/>
  <c r="S45" i="4" s="1"/>
  <c r="Q19" i="5" s="1"/>
  <c r="R35" i="4"/>
  <c r="R45" i="4" s="1"/>
  <c r="P19" i="5" s="1"/>
  <c r="Q35" i="4"/>
  <c r="Q45" i="4" s="1"/>
  <c r="O19" i="5" s="1"/>
  <c r="P35" i="4"/>
  <c r="P45" i="4" s="1"/>
  <c r="N19" i="5" s="1"/>
  <c r="O35" i="4"/>
  <c r="O45" i="4" s="1"/>
  <c r="M19" i="5" s="1"/>
  <c r="N35" i="4"/>
  <c r="M35" i="4"/>
  <c r="L35" i="4"/>
  <c r="K35" i="4"/>
  <c r="K45" i="4" s="1"/>
  <c r="I19" i="5" s="1"/>
  <c r="J35" i="4"/>
  <c r="J45" i="4" s="1"/>
  <c r="H19" i="5" s="1"/>
  <c r="I35" i="4"/>
  <c r="H35" i="4"/>
  <c r="G35" i="4"/>
  <c r="F35" i="4"/>
  <c r="E35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S31" i="4"/>
  <c r="S44" i="4" s="1"/>
  <c r="Q18" i="5" s="1"/>
  <c r="R31" i="4"/>
  <c r="R44" i="4" s="1"/>
  <c r="P18" i="5" s="1"/>
  <c r="Q31" i="4"/>
  <c r="Q44" i="4" s="1"/>
  <c r="O18" i="5" s="1"/>
  <c r="P31" i="4"/>
  <c r="P44" i="4" s="1"/>
  <c r="N18" i="5" s="1"/>
  <c r="O31" i="4"/>
  <c r="O44" i="4" s="1"/>
  <c r="M18" i="5" s="1"/>
  <c r="N31" i="4"/>
  <c r="M31" i="4"/>
  <c r="M44" i="4" s="1"/>
  <c r="K18" i="5" s="1"/>
  <c r="L31" i="4"/>
  <c r="L44" i="4" s="1"/>
  <c r="J18" i="5" s="1"/>
  <c r="K31" i="4"/>
  <c r="J31" i="4"/>
  <c r="I31" i="4"/>
  <c r="H31" i="4"/>
  <c r="G31" i="4"/>
  <c r="G44" i="4" s="1"/>
  <c r="E18" i="5" s="1"/>
  <c r="F31" i="4"/>
  <c r="E31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S26" i="4"/>
  <c r="S43" i="4" s="1"/>
  <c r="Q17" i="5" s="1"/>
  <c r="R26" i="4"/>
  <c r="R43" i="4" s="1"/>
  <c r="P17" i="5" s="1"/>
  <c r="Q26" i="4"/>
  <c r="Q43" i="4" s="1"/>
  <c r="O17" i="5" s="1"/>
  <c r="P26" i="4"/>
  <c r="P43" i="4" s="1"/>
  <c r="N17" i="5" s="1"/>
  <c r="O26" i="4"/>
  <c r="O43" i="4" s="1"/>
  <c r="M17" i="5" s="1"/>
  <c r="N26" i="4"/>
  <c r="M26" i="4"/>
  <c r="M43" i="4" s="1"/>
  <c r="K17" i="5" s="1"/>
  <c r="L26" i="4"/>
  <c r="L43" i="4" s="1"/>
  <c r="J17" i="5" s="1"/>
  <c r="K26" i="4"/>
  <c r="J26" i="4"/>
  <c r="I26" i="4"/>
  <c r="H26" i="4"/>
  <c r="G26" i="4"/>
  <c r="F26" i="4"/>
  <c r="E26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S22" i="4"/>
  <c r="S42" i="4" s="1"/>
  <c r="Q16" i="5" s="1"/>
  <c r="R22" i="4"/>
  <c r="R42" i="4" s="1"/>
  <c r="P16" i="5" s="1"/>
  <c r="Q22" i="4"/>
  <c r="Q42" i="4" s="1"/>
  <c r="O16" i="5" s="1"/>
  <c r="P22" i="4"/>
  <c r="P42" i="4" s="1"/>
  <c r="N16" i="5" s="1"/>
  <c r="O22" i="4"/>
  <c r="O42" i="4" s="1"/>
  <c r="M16" i="5" s="1"/>
  <c r="N22" i="4"/>
  <c r="M22" i="4"/>
  <c r="M42" i="4" s="1"/>
  <c r="K16" i="5" s="1"/>
  <c r="L22" i="4"/>
  <c r="L42" i="4" s="1"/>
  <c r="J16" i="5" s="1"/>
  <c r="K22" i="4"/>
  <c r="K42" i="4" s="1"/>
  <c r="I16" i="5" s="1"/>
  <c r="J22" i="4"/>
  <c r="I22" i="4"/>
  <c r="H22" i="4"/>
  <c r="G22" i="4"/>
  <c r="F22" i="4"/>
  <c r="E22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S17" i="4"/>
  <c r="S41" i="4" s="1"/>
  <c r="Q15" i="5" s="1"/>
  <c r="R17" i="4"/>
  <c r="R41" i="4" s="1"/>
  <c r="P15" i="5" s="1"/>
  <c r="Q17" i="4"/>
  <c r="Q41" i="4" s="1"/>
  <c r="O15" i="5" s="1"/>
  <c r="P17" i="4"/>
  <c r="P41" i="4" s="1"/>
  <c r="N15" i="5" s="1"/>
  <c r="O17" i="4"/>
  <c r="O41" i="4" s="1"/>
  <c r="M15" i="5" s="1"/>
  <c r="N17" i="4"/>
  <c r="M17" i="4"/>
  <c r="L17" i="4"/>
  <c r="K17" i="4"/>
  <c r="K41" i="4" s="1"/>
  <c r="I15" i="5" s="1"/>
  <c r="J17" i="4"/>
  <c r="I17" i="4"/>
  <c r="H17" i="4"/>
  <c r="G17" i="4"/>
  <c r="F17" i="4"/>
  <c r="E17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S12" i="4"/>
  <c r="S40" i="4" s="1"/>
  <c r="Q14" i="5" s="1"/>
  <c r="R12" i="4"/>
  <c r="R40" i="4" s="1"/>
  <c r="P14" i="5" s="1"/>
  <c r="Q12" i="4"/>
  <c r="Q40" i="4" s="1"/>
  <c r="O14" i="5" s="1"/>
  <c r="P12" i="4"/>
  <c r="P40" i="4" s="1"/>
  <c r="N14" i="5" s="1"/>
  <c r="O12" i="4"/>
  <c r="O40" i="4" s="1"/>
  <c r="M14" i="5" s="1"/>
  <c r="N12" i="4"/>
  <c r="M12" i="4"/>
  <c r="L12" i="4"/>
  <c r="K12" i="4"/>
  <c r="K40" i="4" s="1"/>
  <c r="I14" i="5" s="1"/>
  <c r="J12" i="4"/>
  <c r="I12" i="4"/>
  <c r="H12" i="4"/>
  <c r="G12" i="4"/>
  <c r="F12" i="4"/>
  <c r="E12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S7" i="4"/>
  <c r="S39" i="4" s="1"/>
  <c r="R7" i="4"/>
  <c r="R39" i="4" s="1"/>
  <c r="Q7" i="4"/>
  <c r="Q39" i="4" s="1"/>
  <c r="P7" i="4"/>
  <c r="P39" i="4" s="1"/>
  <c r="O7" i="4"/>
  <c r="O39" i="4" s="1"/>
  <c r="N7" i="4"/>
  <c r="M7" i="4"/>
  <c r="L7" i="4"/>
  <c r="K7" i="4"/>
  <c r="K39" i="4" s="1"/>
  <c r="J7" i="4"/>
  <c r="I7" i="4"/>
  <c r="H7" i="4"/>
  <c r="G7" i="4"/>
  <c r="F7" i="4"/>
  <c r="E7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44" i="1"/>
  <c r="E44" i="1" s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M39" i="4" l="1"/>
  <c r="M45" i="4"/>
  <c r="K19" i="5" s="1"/>
  <c r="L45" i="4"/>
  <c r="J19" i="5" s="1"/>
  <c r="K43" i="4"/>
  <c r="I17" i="5" s="1"/>
  <c r="K44" i="4"/>
  <c r="I18" i="5" s="1"/>
  <c r="L49" i="4"/>
  <c r="J23" i="5" s="1"/>
  <c r="L41" i="4"/>
  <c r="J15" i="5" s="1"/>
  <c r="L40" i="4"/>
  <c r="J14" i="5" s="1"/>
  <c r="L39" i="4"/>
  <c r="J13" i="5" s="1"/>
  <c r="M41" i="4"/>
  <c r="K15" i="5" s="1"/>
  <c r="M40" i="4"/>
  <c r="K14" i="5" s="1"/>
  <c r="J44" i="4"/>
  <c r="H18" i="5" s="1"/>
  <c r="J43" i="4"/>
  <c r="H17" i="5" s="1"/>
  <c r="J42" i="4"/>
  <c r="H16" i="5" s="1"/>
  <c r="J41" i="4"/>
  <c r="H15" i="5" s="1"/>
  <c r="J40" i="4"/>
  <c r="H14" i="5" s="1"/>
  <c r="J39" i="4"/>
  <c r="H13" i="5" s="1"/>
  <c r="N45" i="4"/>
  <c r="L19" i="5" s="1"/>
  <c r="N44" i="4"/>
  <c r="L18" i="5" s="1"/>
  <c r="N43" i="4"/>
  <c r="L17" i="5" s="1"/>
  <c r="N42" i="4"/>
  <c r="L16" i="5" s="1"/>
  <c r="N41" i="4"/>
  <c r="L15" i="5" s="1"/>
  <c r="N40" i="4"/>
  <c r="L14" i="5" s="1"/>
  <c r="N39" i="4"/>
  <c r="L13" i="5" s="1"/>
  <c r="F42" i="4"/>
  <c r="D16" i="5" s="1"/>
  <c r="I44" i="4"/>
  <c r="G18" i="5" s="1"/>
  <c r="G43" i="4"/>
  <c r="E17" i="5" s="1"/>
  <c r="F22" i="5"/>
  <c r="E40" i="4"/>
  <c r="C14" i="5" s="1"/>
  <c r="E41" i="4"/>
  <c r="C15" i="5" s="1"/>
  <c r="E42" i="4"/>
  <c r="C16" i="5" s="1"/>
  <c r="H43" i="4"/>
  <c r="F17" i="5" s="1"/>
  <c r="H44" i="4"/>
  <c r="F18" i="5" s="1"/>
  <c r="F40" i="4"/>
  <c r="D14" i="5" s="1"/>
  <c r="I43" i="4"/>
  <c r="G17" i="5" s="1"/>
  <c r="E39" i="4"/>
  <c r="C13" i="5" s="1"/>
  <c r="F39" i="4"/>
  <c r="F41" i="4"/>
  <c r="D15" i="5" s="1"/>
  <c r="G42" i="4"/>
  <c r="E16" i="5" s="1"/>
  <c r="I42" i="4"/>
  <c r="G16" i="5" s="1"/>
  <c r="E45" i="4"/>
  <c r="C19" i="5" s="1"/>
  <c r="H42" i="4"/>
  <c r="F16" i="5" s="1"/>
  <c r="F45" i="4"/>
  <c r="D19" i="5" s="1"/>
  <c r="G40" i="4"/>
  <c r="E14" i="5" s="1"/>
  <c r="G41" i="4"/>
  <c r="E15" i="5" s="1"/>
  <c r="H41" i="4"/>
  <c r="F15" i="5" s="1"/>
  <c r="H39" i="4"/>
  <c r="F13" i="5" s="1"/>
  <c r="I41" i="4"/>
  <c r="G15" i="5" s="1"/>
  <c r="H40" i="4"/>
  <c r="F14" i="5" s="1"/>
  <c r="I39" i="4"/>
  <c r="G13" i="5" s="1"/>
  <c r="G39" i="4"/>
  <c r="E13" i="5" s="1"/>
  <c r="G45" i="4"/>
  <c r="E19" i="5" s="1"/>
  <c r="I40" i="4"/>
  <c r="G14" i="5" s="1"/>
  <c r="E43" i="4"/>
  <c r="C17" i="5" s="1"/>
  <c r="E44" i="4"/>
  <c r="C18" i="5" s="1"/>
  <c r="H45" i="4"/>
  <c r="F19" i="5" s="1"/>
  <c r="F43" i="4"/>
  <c r="D17" i="5" s="1"/>
  <c r="F44" i="4"/>
  <c r="D18" i="5" s="1"/>
  <c r="I45" i="4"/>
  <c r="G19" i="5" s="1"/>
  <c r="M13" i="5"/>
  <c r="O46" i="4"/>
  <c r="M21" i="5" s="1"/>
  <c r="K13" i="5"/>
  <c r="N13" i="5"/>
  <c r="P46" i="4"/>
  <c r="N21" i="5" s="1"/>
  <c r="O13" i="5"/>
  <c r="Q46" i="4"/>
  <c r="O21" i="5" s="1"/>
  <c r="P13" i="5"/>
  <c r="R46" i="4"/>
  <c r="P21" i="5" s="1"/>
  <c r="Q13" i="5"/>
  <c r="S46" i="4"/>
  <c r="Q21" i="5" s="1"/>
  <c r="I13" i="5"/>
  <c r="Q49" i="4"/>
  <c r="O23" i="5" s="1"/>
  <c r="I22" i="5"/>
  <c r="M22" i="5"/>
  <c r="N22" i="5"/>
  <c r="L46" i="4" l="1"/>
  <c r="J21" i="5" s="1"/>
  <c r="M46" i="4"/>
  <c r="K21" i="5" s="1"/>
  <c r="K46" i="4"/>
  <c r="I21" i="5" s="1"/>
  <c r="J46" i="4"/>
  <c r="N46" i="4"/>
  <c r="F46" i="4"/>
  <c r="D21" i="5" s="1"/>
  <c r="D13" i="5"/>
  <c r="E46" i="4"/>
  <c r="G46" i="4"/>
  <c r="I46" i="4"/>
  <c r="H46" i="4"/>
  <c r="F21" i="5" s="1"/>
  <c r="F49" i="4"/>
  <c r="D23" i="5" s="1"/>
  <c r="E21" i="5"/>
  <c r="G49" i="4"/>
  <c r="E23" i="5" s="1"/>
  <c r="H21" i="5" l="1"/>
  <c r="J49" i="4"/>
  <c r="H23" i="5" s="1"/>
  <c r="L21" i="5"/>
  <c r="N49" i="4"/>
  <c r="L23" i="5" s="1"/>
  <c r="G21" i="5"/>
  <c r="I49" i="4"/>
  <c r="G23" i="5" s="1"/>
  <c r="C21" i="5"/>
  <c r="E49" i="4"/>
  <c r="C23" i="5" s="1"/>
</calcChain>
</file>

<file path=xl/sharedStrings.xml><?xml version="1.0" encoding="utf-8"?>
<sst xmlns="http://schemas.openxmlformats.org/spreadsheetml/2006/main" count="340" uniqueCount="219">
  <si>
    <t>PREKVALİFİKASİYA  —  BAL SXEMİ  VƏ  METODOLOGİYA</t>
  </si>
  <si>
    <t>Tikinti Tender İştirakçılarının Qiymətləndirmə Meyarları  |  Ümumi Bal: 100</t>
  </si>
  <si>
    <t xml:space="preserve">  METODOLOGİYA  </t>
  </si>
  <si>
    <t>• Hər iştirakçı 7 əsas kateqoriya üzrə qiymətləndirilir (ümumi bal: 100).
• Məcburi (knock-out) meyarlar 0 bal alarsa, iştirakçı avtomatik RƏDD edilir.
• Minimum keçid: 70/100. Ondan aşağı bal alanlar tenderə dəvət edilmir.
• Hər alt meyar üzrə xam göstərici cədvəldə avtomatik bal-a çevrilir.</t>
  </si>
  <si>
    <t xml:space="preserve">  KATEQORİYALAR VƏ BAL PAYLANMASI  </t>
  </si>
  <si>
    <t>Kod</t>
  </si>
  <si>
    <t>Meyar / Kateqoriya</t>
  </si>
  <si>
    <t>Max Bal</t>
  </si>
  <si>
    <t>Çəki %</t>
  </si>
  <si>
    <t>Qeyd</t>
  </si>
  <si>
    <t>A</t>
  </si>
  <si>
    <t>Şirkət Profili və Hüquqi Status</t>
  </si>
  <si>
    <t>Lisenziya və hüquqi uyğunluq</t>
  </si>
  <si>
    <t>A.1</t>
  </si>
  <si>
    <t xml:space="preserve">  Tikinti fəaliyyəti üzrə lisenziya</t>
  </si>
  <si>
    <t>MƏCBURİ — 0 bal = RƏDD</t>
  </si>
  <si>
    <t>A.2</t>
  </si>
  <si>
    <t xml:space="preserve">  Fəaliyyət müddəti (illər)</t>
  </si>
  <si>
    <t>A.3</t>
  </si>
  <si>
    <t xml:space="preserve">  Şirkətin hüquqi strukturu</t>
  </si>
  <si>
    <t>A.4</t>
  </si>
  <si>
    <t xml:space="preserve">  Vergi borcsuzluğu arayışı</t>
  </si>
  <si>
    <t>B</t>
  </si>
  <si>
    <t>Maliyyə Vəziyyəti</t>
  </si>
  <si>
    <t>Son 3 ilin göstəriciləri</t>
  </si>
  <si>
    <t>B.1</t>
  </si>
  <si>
    <t xml:space="preserve">  İllik orta dövriyyə (USD)</t>
  </si>
  <si>
    <t>B.2</t>
  </si>
  <si>
    <t xml:space="preserve">  Öz kapitalı (Equity)</t>
  </si>
  <si>
    <t>B.3</t>
  </si>
  <si>
    <t xml:space="preserve">  Bank kredit xətti / təminat</t>
  </si>
  <si>
    <t>B.4</t>
  </si>
  <si>
    <t xml:space="preserve">  Auditdən keçmiş maliyyə hesabatı</t>
  </si>
  <si>
    <t>C</t>
  </si>
  <si>
    <t>Texniki Təcrübə və Keçmiş Layihələr</t>
  </si>
  <si>
    <t>Ən yüksək paylı kateqoriya</t>
  </si>
  <si>
    <t>C.1</t>
  </si>
  <si>
    <t xml:space="preserve">  Son 5 ildə tamamlanmış oxşar layihə sayı</t>
  </si>
  <si>
    <t>C.2</t>
  </si>
  <si>
    <t xml:space="preserve">  Ən böyük tamamlanmış layihənin dəyəri</t>
  </si>
  <si>
    <t>C.3</t>
  </si>
  <si>
    <t xml:space="preserve">  Hazırda davam edən layihələrin sayı</t>
  </si>
  <si>
    <t>C.4</t>
  </si>
  <si>
    <t xml:space="preserve">  ISO 9001 Keyfiyyət Sertifikatı</t>
  </si>
  <si>
    <t>D</t>
  </si>
  <si>
    <t>Maddi-Texniki Baza</t>
  </si>
  <si>
    <t>Ofis, avadanlıq, nəqliyyat</t>
  </si>
  <si>
    <t>D.1</t>
  </si>
  <si>
    <t xml:space="preserve">  Ofis və emalatxana sahəsi</t>
  </si>
  <si>
    <t>D.2</t>
  </si>
  <si>
    <t xml:space="preserve">  İş avadanlığı və alətlər siyahısı</t>
  </si>
  <si>
    <t>D.3</t>
  </si>
  <si>
    <t xml:space="preserve">  Nəqliyyat və yük maşın parkı</t>
  </si>
  <si>
    <t>E</t>
  </si>
  <si>
    <t>Kadr Resursları</t>
  </si>
  <si>
    <t>Heyət və ixtisas</t>
  </si>
  <si>
    <t>E.1</t>
  </si>
  <si>
    <t xml:space="preserve">  Ümumi daimi heyət sayı</t>
  </si>
  <si>
    <t>E.2</t>
  </si>
  <si>
    <t xml:space="preserve">  Mühəndis / Texniki heyət sayı</t>
  </si>
  <si>
    <t>E.3</t>
  </si>
  <si>
    <t xml:space="preserve">  İSG (HSE) mütəxəssisi</t>
  </si>
  <si>
    <t>E.4</t>
  </si>
  <si>
    <t xml:space="preserve">  Daimi subpodratçı bazası</t>
  </si>
  <si>
    <t>F</t>
  </si>
  <si>
    <t>İSG (HSE) və Keyfiyyət Sistemi</t>
  </si>
  <si>
    <t>Təhlükəsizlik prioriteti</t>
  </si>
  <si>
    <t>F.1</t>
  </si>
  <si>
    <t xml:space="preserve">  İSG sertifikatı və planı</t>
  </si>
  <si>
    <t>F.2</t>
  </si>
  <si>
    <t xml:space="preserve">  ISO 14001 / 45001 sertifikatları</t>
  </si>
  <si>
    <t>F.3</t>
  </si>
  <si>
    <t xml:space="preserve">  Son 3 ildə bədbəxt hadisə statistikası</t>
  </si>
  <si>
    <t>G</t>
  </si>
  <si>
    <t>Sığorta, Zəmanət və Referanslar</t>
  </si>
  <si>
    <t>Risklərin idarə olunması</t>
  </si>
  <si>
    <t>G.1</t>
  </si>
  <si>
    <t xml:space="preserve">  Peşəkar və ümumi məsuliyyət sığortası</t>
  </si>
  <si>
    <t>G.2</t>
  </si>
  <si>
    <t xml:space="preserve">  Keçmiş müştərilərdən referans sayı</t>
  </si>
  <si>
    <t>ÜMUMİ BAL</t>
  </si>
  <si>
    <t>Min. keçid: 70/100</t>
  </si>
  <si>
    <t xml:space="preserve">  NƏTİCƏ TƏSNİFATI  </t>
  </si>
  <si>
    <t>Bal Aralığı</t>
  </si>
  <si>
    <t>Sinif</t>
  </si>
  <si>
    <t>Qərar</t>
  </si>
  <si>
    <t>90 – 100</t>
  </si>
  <si>
    <t>Əla (A)</t>
  </si>
  <si>
    <t>Tenderə dəvət edilir — birinci prioritet</t>
  </si>
  <si>
    <t>80 – 89</t>
  </si>
  <si>
    <t>Yaxşı (B)</t>
  </si>
  <si>
    <t>Tenderə dəvət edilir</t>
  </si>
  <si>
    <t>70 – 79</t>
  </si>
  <si>
    <t>Qənaətbəxş (C)</t>
  </si>
  <si>
    <t>Şərti olaraq tenderə dəvət edilir</t>
  </si>
  <si>
    <t>60 – 69</t>
  </si>
  <si>
    <t>Zəif (D)</t>
  </si>
  <si>
    <t>Tenderə dəvət edilmir — çatışmazlıqlar qeyd olunur</t>
  </si>
  <si>
    <t>0 – 59</t>
  </si>
  <si>
    <t>Yararsız (F)</t>
  </si>
  <si>
    <t>RƏDD edilir</t>
  </si>
  <si>
    <t>KO</t>
  </si>
  <si>
    <t>Knock-out</t>
  </si>
  <si>
    <t>Məcburi meyar 0 olarsa — avtomatik RƏDD</t>
  </si>
  <si>
    <t>İŞTİRAKÇI MƏLUMATLARI  —  Ümumi Profil</t>
  </si>
  <si>
    <t>⚠  Sarı xanaları doldurun. Məlumatlar digər vərəqələrdə avtomatik görünəcəkdir.</t>
  </si>
  <si>
    <t>Məlumat Sahəsi</t>
  </si>
  <si>
    <t>İştirakçı №1</t>
  </si>
  <si>
    <t>İştirakçı №2</t>
  </si>
  <si>
    <t>İştirakçı №3</t>
  </si>
  <si>
    <t>İştirakçı №4</t>
  </si>
  <si>
    <t>İştirakçı №5</t>
  </si>
  <si>
    <t>İştirakçı №6</t>
  </si>
  <si>
    <t>İştirakçı №7</t>
  </si>
  <si>
    <t>İştirakçı №8</t>
  </si>
  <si>
    <t>İştirakçı №9</t>
  </si>
  <si>
    <t>İştirakçı №10</t>
  </si>
  <si>
    <t>İştirakçı №11</t>
  </si>
  <si>
    <t>İştirakçı №12</t>
  </si>
  <si>
    <t>İştirakçı №13</t>
  </si>
  <si>
    <t>İştirakçı №14</t>
  </si>
  <si>
    <t>İştirakçı №15</t>
  </si>
  <si>
    <t>Şirkətin tam adı</t>
  </si>
  <si>
    <t>Ticarət reyestr nömrəsi</t>
  </si>
  <si>
    <t>Qeydiyyat ili</t>
  </si>
  <si>
    <t>Ünvan</t>
  </si>
  <si>
    <t>Əsas əlaqə şəxsi</t>
  </si>
  <si>
    <t>Vəzifə</t>
  </si>
  <si>
    <t>Telefon / WhatsApp</t>
  </si>
  <si>
    <t>E-poçt</t>
  </si>
  <si>
    <t>Veb sayt</t>
  </si>
  <si>
    <t>Ümumi heyət sayı</t>
  </si>
  <si>
    <t>Mühəndis heyəti sayı</t>
  </si>
  <si>
    <t>CAVAB CƏDVƏLİ  —  Xam Göstəricilər və Sənəd Yoxlanışı</t>
  </si>
  <si>
    <t>⚠  Sarı xanalara subpodratçıdan alınmış cavabları / sənəd üzrə rəqəm və ya 0–3 qiymət daxil edin.</t>
  </si>
  <si>
    <t>Göstərici / Sual</t>
  </si>
  <si>
    <t>Ölçü Vahidi</t>
  </si>
  <si>
    <t xml:space="preserve">  A. ŞİRKƏT PROFİLİ</t>
  </si>
  <si>
    <t>Tikinti lisenziyası statusu</t>
  </si>
  <si>
    <t>0–3 qiymət</t>
  </si>
  <si>
    <t>Fəaliyyət ili (qeydiyyatdan bəri)</t>
  </si>
  <si>
    <t>il</t>
  </si>
  <si>
    <t>Hüquqi strukturun şəffaflığı</t>
  </si>
  <si>
    <t>Vergi borcsuzluğu arayışı (son 3 ay)</t>
  </si>
  <si>
    <t xml:space="preserve">  B. MALİYYƏ VƏZİYYƏTİ</t>
  </si>
  <si>
    <t>Son 3 ilin orta illik dövriyyəsi</t>
  </si>
  <si>
    <t>Öz kapitalı (son bilans)</t>
  </si>
  <si>
    <t>Bank kredit xətti / təminat</t>
  </si>
  <si>
    <t>Auditdən keçmiş maliyyə hesabatı</t>
  </si>
  <si>
    <t xml:space="preserve">  C. TEXNİKİ TƏCRÜBƏ</t>
  </si>
  <si>
    <t>Son 5 ildə oxşar layihə sayı</t>
  </si>
  <si>
    <t>ədəd</t>
  </si>
  <si>
    <t>Ən böyük tamamlanmış layihənin dəyəri</t>
  </si>
  <si>
    <t>Hazırda davam edən layihə sayı</t>
  </si>
  <si>
    <t>ISO 9001 sertifikatı</t>
  </si>
  <si>
    <t xml:space="preserve">  D. MADDİ-TEXNİKİ BAZA</t>
  </si>
  <si>
    <t>Ofis və emalatxana sahəsinin mövcudluğu</t>
  </si>
  <si>
    <t>İş avadanlığı və alətlərin yetərliliyi</t>
  </si>
  <si>
    <t>Nəqliyyat və yük maşın parkı</t>
  </si>
  <si>
    <t xml:space="preserve">  E. KADR RESURSLARI</t>
  </si>
  <si>
    <t>Ümumi daimi heyət sayı</t>
  </si>
  <si>
    <t>nəfər</t>
  </si>
  <si>
    <t>Mühəndis / texniki heyət sayı</t>
  </si>
  <si>
    <t>Tam ştatlı İSG (HSE) mütəxəssisi</t>
  </si>
  <si>
    <t>Daimi subpodratçı bazası</t>
  </si>
  <si>
    <t>İSG sertifikatı və planı (MƏCBURİ)</t>
  </si>
  <si>
    <t>ISO 14001 / 45001 sertifikatları</t>
  </si>
  <si>
    <t>Son 3 ildə bədbəxt hadisə göstəricisi</t>
  </si>
  <si>
    <t xml:space="preserve">  G. SIĞORTA VƏ REFERANSLAR</t>
  </si>
  <si>
    <t>Peşəkar və ümumi məsuliyyət sığortası</t>
  </si>
  <si>
    <t>Keçmiş müştərilərdən referans sayı</t>
  </si>
  <si>
    <t>BAL HESABLAMASI  —  Avtomatik Formulalar</t>
  </si>
  <si>
    <t>Hər meyar üzrə ballar 'Cavablar' vərəqəsindəki xam göstəricilərə əsasən avtomatik hesablanır.</t>
  </si>
  <si>
    <t>Meyar</t>
  </si>
  <si>
    <t xml:space="preserve">  A. ŞİRKƏT PROFİLİ (15 bal)</t>
  </si>
  <si>
    <t xml:space="preserve">  B. MALİYYƏ VƏZİYYƏTİ (20 bal)</t>
  </si>
  <si>
    <t xml:space="preserve">  C. TEXNİKİ TƏCRÜBƏ (25 bal)</t>
  </si>
  <si>
    <t xml:space="preserve">  D. MADDİ-TEXNİKİ BAZA (10 bal)</t>
  </si>
  <si>
    <t xml:space="preserve">  E. KADR RESURSLARI (15 bal)</t>
  </si>
  <si>
    <t xml:space="preserve">  F. İSG VƏ KEYFİYYƏT (10 bal)</t>
  </si>
  <si>
    <t xml:space="preserve">  G. SIĞORTA VƏ REFERANSLAR (5 bal)</t>
  </si>
  <si>
    <t xml:space="preserve">  QRUP CƏMLƏRİ VƏ ÜMUMİ BAL</t>
  </si>
  <si>
    <t>Şirkət Profili — qrup cəmi</t>
  </si>
  <si>
    <t>Maliyyə — qrup cəmi</t>
  </si>
  <si>
    <t>Texniki Təcrübə — qrup cəmi</t>
  </si>
  <si>
    <t>Maddi-Texniki Baza — qrup cəmi</t>
  </si>
  <si>
    <t>Kadr Resursları — qrup cəmi</t>
  </si>
  <si>
    <t>İSG və Keyfiyyət — qrup cəmi</t>
  </si>
  <si>
    <t>Sığorta və Referanslar — qrup cəmi</t>
  </si>
  <si>
    <t>Σ</t>
  </si>
  <si>
    <t>ÜMUMİ BAL (100 bal)</t>
  </si>
  <si>
    <t>Məcburi meyar yoxlaması (A.1 ∧ A.4 ∧ F.1 &gt; 0)</t>
  </si>
  <si>
    <t>—</t>
  </si>
  <si>
    <t>✓</t>
  </si>
  <si>
    <t>SON QƏRAR (Sinif və Tövsiyə)</t>
  </si>
  <si>
    <t>PREKVALİFİKASİYA NƏTİCƏLƏRİ  —  İCRAİ XÜLASƏ</t>
  </si>
  <si>
    <t>Rəhbərliyin Təsdiqi üçün  |  Tenderə Dəvət Edilməli İştirakçıların Müəyyən edilməsi</t>
  </si>
  <si>
    <t>Göstərici</t>
  </si>
  <si>
    <t>Şirkətin Adı</t>
  </si>
  <si>
    <t>Əlaqə şəxsi</t>
  </si>
  <si>
    <t>Telefon</t>
  </si>
  <si>
    <t xml:space="preserve">  BAL DETALI (Qrup üzrə)</t>
  </si>
  <si>
    <t>A. Şirkət Profili (/15)</t>
  </si>
  <si>
    <t>B. Maliyyə (/20)</t>
  </si>
  <si>
    <t>C. Texniki Təcrübə (/25)</t>
  </si>
  <si>
    <t>D. Maddi-Texniki (/10)</t>
  </si>
  <si>
    <t>E. Kadr (/15)</t>
  </si>
  <si>
    <t>F. İSG (/10)</t>
  </si>
  <si>
    <t>G. Sığorta &amp; Ref. (/5)</t>
  </si>
  <si>
    <t>ÜMUMİ BAL (100)</t>
  </si>
  <si>
    <t>Məcburi Meyar (KO)</t>
  </si>
  <si>
    <t>NƏTİCƏ / TÖVSİYƏ</t>
  </si>
  <si>
    <t xml:space="preserve">  KOMİSSİYANIN QEYDLƏRİ VƏ ƏSASLANDIRMA</t>
  </si>
  <si>
    <t>90+ bal toplamış iştirakçılar A sinifi — birinci prioritetlə tenderə dəvət edilir. 80–89 bal (B sinfi) da dəvət edilir. 70–79 bal (C) şərti dəvət. 60–69 bal (D) və aşağı (F) — tenderə dəvət edilmir. Məcburi meyarlardan birini təmin etməyən — avtomatik RƏDD.</t>
  </si>
  <si>
    <t>Komissiya Sədri / Tarix:</t>
  </si>
  <si>
    <t>Rəhbərin Təsdiqi / Tarix:</t>
  </si>
  <si>
    <t>AZN</t>
  </si>
  <si>
    <t xml:space="preserve">  F. HSE VƏ KEYFİYYƏT</t>
  </si>
  <si>
    <t>HSE sertifikatı və planı (MƏCBURİ)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</si>
</sst>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404040"/>
      <name val="Arial"/>
      <charset val="1"/>
    </font>
    <font>
      <b/>
      <sz val="9"/>
      <color rgb="FFFFFFFF"/>
      <name val="Arial"/>
      <charset val="1"/>
    </font>
    <font>
      <b/>
      <sz val="10"/>
      <color rgb="FF404040"/>
      <name val="Arial"/>
      <charset val="1"/>
    </font>
    <font>
      <i/>
      <sz val="8"/>
      <color rgb="FF404040"/>
      <name val="Arial"/>
      <charset val="1"/>
    </font>
    <font>
      <b/>
      <sz val="9"/>
      <color rgb="FF2E5DA3"/>
      <name val="Arial"/>
      <charset val="1"/>
    </font>
    <font>
      <b/>
      <sz val="9"/>
      <color rgb="FF404040"/>
      <name val="Arial"/>
      <charset val="1"/>
    </font>
    <font>
      <b/>
      <i/>
      <sz val="8"/>
      <color rgb="FF7B0000"/>
      <name val="Arial"/>
      <charset val="1"/>
    </font>
    <font>
      <b/>
      <sz val="11"/>
      <color rgb="FFFFFFFF"/>
      <name val="Arial"/>
      <charset val="1"/>
    </font>
    <font>
      <b/>
      <i/>
      <sz val="9"/>
      <color rgb="FFFFFFFF"/>
      <name val="Arial"/>
      <charset val="1"/>
    </font>
    <font>
      <b/>
      <sz val="9"/>
      <color rgb="FF375623"/>
      <name val="Arial"/>
      <charset val="1"/>
    </font>
    <font>
      <sz val="9"/>
      <color rgb="FF375623"/>
      <name val="Arial"/>
      <charset val="1"/>
    </font>
    <font>
      <b/>
      <sz val="9"/>
      <color rgb="FF548235"/>
      <name val="Arial"/>
      <charset val="1"/>
    </font>
    <font>
      <sz val="9"/>
      <color rgb="FF548235"/>
      <name val="Arial"/>
      <charset val="1"/>
    </font>
    <font>
      <b/>
      <sz val="9"/>
      <color rgb="FF843C0C"/>
      <name val="Arial"/>
      <charset val="1"/>
    </font>
    <font>
      <sz val="9"/>
      <color rgb="FF843C0C"/>
      <name val="Arial"/>
      <charset val="1"/>
    </font>
    <font>
      <b/>
      <sz val="9"/>
      <color rgb="FFC00000"/>
      <name val="Arial"/>
      <charset val="1"/>
    </font>
    <font>
      <sz val="9"/>
      <color rgb="FFC00000"/>
      <name val="Arial"/>
      <charset val="1"/>
    </font>
    <font>
      <b/>
      <sz val="9"/>
      <color rgb="FF7B0000"/>
      <name val="Arial"/>
      <charset val="1"/>
    </font>
    <font>
      <sz val="9"/>
      <color rgb="FF7B0000"/>
      <name val="Arial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sz val="8"/>
      <color rgb="FF808080"/>
      <name val="Arial"/>
      <charset val="1"/>
    </font>
    <font>
      <b/>
      <sz val="10"/>
      <color rgb="FF006B6B"/>
      <name val="Arial"/>
      <charset val="1"/>
    </font>
    <font>
      <b/>
      <sz val="12"/>
      <color rgb="FFFFFFFF"/>
      <name val="Arial"/>
      <charset val="1"/>
    </font>
    <font>
      <b/>
      <sz val="14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F3864"/>
      <name val="Arial"/>
      <charset val="1"/>
    </font>
    <font>
      <b/>
      <sz val="11"/>
      <color rgb="FF404040"/>
      <name val="Arial"/>
      <charset val="1"/>
    </font>
    <font>
      <i/>
      <sz val="10"/>
      <color rgb="FF404040"/>
      <name val="Arial"/>
      <charset val="1"/>
    </font>
    <font>
      <u/>
      <sz val="11"/>
      <color theme="10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DA3"/>
        <bgColor rgb="FF4472C4"/>
      </patternFill>
    </fill>
    <fill>
      <patternFill patternType="solid">
        <fgColor rgb="FF7030A0"/>
        <bgColor rgb="FF993366"/>
      </patternFill>
    </fill>
    <fill>
      <patternFill patternType="solid">
        <fgColor rgb="FFF4EAFB"/>
        <bgColor rgb="FFF2F2F2"/>
      </patternFill>
    </fill>
    <fill>
      <patternFill patternType="solid">
        <fgColor rgb="FF4472C4"/>
        <bgColor rgb="FF2E5DA3"/>
      </patternFill>
    </fill>
    <fill>
      <patternFill patternType="solid">
        <fgColor rgb="FFBDD7EE"/>
        <bgColor rgb="FFCCE5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4EAFB"/>
      </patternFill>
    </fill>
    <fill>
      <patternFill patternType="solid">
        <fgColor rgb="FFFCE4D6"/>
        <bgColor rgb="FFF8D9D0"/>
      </patternFill>
    </fill>
    <fill>
      <patternFill patternType="solid">
        <fgColor rgb="FF006B6B"/>
        <bgColor rgb="FF008080"/>
      </patternFill>
    </fill>
    <fill>
      <patternFill patternType="solid">
        <fgColor rgb="FFE2EFDA"/>
        <bgColor rgb="FFE0F2F1"/>
      </patternFill>
    </fill>
    <fill>
      <patternFill patternType="solid">
        <fgColor rgb="FFCCE5CC"/>
        <bgColor rgb="FFE0E0E0"/>
      </patternFill>
    </fill>
    <fill>
      <patternFill patternType="solid">
        <fgColor rgb="FFFFF2CC"/>
        <bgColor rgb="FFFCE4D6"/>
      </patternFill>
    </fill>
    <fill>
      <patternFill patternType="solid">
        <fgColor rgb="FFF8D9D0"/>
        <bgColor rgb="FFFCE4D6"/>
      </patternFill>
    </fill>
    <fill>
      <patternFill patternType="solid">
        <fgColor rgb="FFE0E0E0"/>
        <bgColor rgb="FFD9E8F5"/>
      </patternFill>
    </fill>
    <fill>
      <patternFill patternType="solid">
        <fgColor rgb="FFC55A11"/>
        <bgColor rgb="FF843C0C"/>
      </patternFill>
    </fill>
    <fill>
      <patternFill patternType="solid">
        <fgColor rgb="FF548235"/>
        <bgColor rgb="FF339966"/>
      </patternFill>
    </fill>
    <fill>
      <patternFill patternType="solid">
        <fgColor rgb="FFE0F2F1"/>
        <bgColor rgb="FFE2EFDA"/>
      </patternFill>
    </fill>
    <fill>
      <patternFill patternType="solid">
        <fgColor rgb="FF404040"/>
        <bgColor rgb="FF375623"/>
      </patternFill>
    </fill>
    <fill>
      <patternFill patternType="solid">
        <fgColor rgb="FFC9A227"/>
        <bgColor rgb="FF99CC00"/>
      </patternFill>
    </fill>
    <fill>
      <patternFill patternType="solid">
        <fgColor rgb="FFD9E8F5"/>
        <bgColor rgb="FFE0F2F1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C9A227"/>
      </left>
      <right style="medium">
        <color rgb="FFC9A227"/>
      </right>
      <top style="medium">
        <color rgb="FFC9A227"/>
      </top>
      <bottom style="medium">
        <color rgb="FFC9A227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92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1" fontId="3" fillId="6" borderId="1" xfId="0" applyNumberFormat="1" applyFont="1" applyFill="1" applyBorder="1" applyAlignment="1">
      <alignment horizontal="center" vertical="center"/>
    </xf>
    <xf numFmtId="164" fontId="3" fillId="6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1" fontId="9" fillId="9" borderId="1" xfId="0" applyNumberFormat="1" applyFont="1" applyFill="1" applyBorder="1" applyAlignment="1">
      <alignment horizontal="center" vertical="center"/>
    </xf>
    <xf numFmtId="164" fontId="9" fillId="9" borderId="1" xfId="0" applyNumberFormat="1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left" vertical="center" wrapText="1"/>
    </xf>
    <xf numFmtId="1" fontId="11" fillId="2" borderId="2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7" fillId="14" borderId="1" xfId="0" applyFont="1" applyFill="1" applyBorder="1" applyAlignment="1">
      <alignment horizontal="center" vertical="center"/>
    </xf>
    <xf numFmtId="0" fontId="19" fillId="15" borderId="1" xfId="0" applyFont="1" applyFill="1" applyBorder="1" applyAlignment="1">
      <alignment horizontal="center" vertical="center"/>
    </xf>
    <xf numFmtId="0" fontId="21" fillId="10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1" fontId="4" fillId="14" borderId="1" xfId="0" applyNumberFormat="1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3" fontId="4" fillId="14" borderId="1" xfId="0" applyNumberFormat="1" applyFont="1" applyFill="1" applyBorder="1" applyAlignment="1">
      <alignment horizontal="center" vertical="center"/>
    </xf>
    <xf numFmtId="165" fontId="4" fillId="8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left" vertical="center"/>
    </xf>
    <xf numFmtId="1" fontId="26" fillId="19" borderId="1" xfId="0" applyNumberFormat="1" applyFont="1" applyFill="1" applyBorder="1" applyAlignment="1">
      <alignment horizontal="center" vertical="center"/>
    </xf>
    <xf numFmtId="165" fontId="26" fillId="19" borderId="1" xfId="0" applyNumberFormat="1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left" vertical="center"/>
    </xf>
    <xf numFmtId="1" fontId="27" fillId="2" borderId="2" xfId="0" applyNumberFormat="1" applyFont="1" applyFill="1" applyBorder="1" applyAlignment="1">
      <alignment horizontal="center" vertical="center"/>
    </xf>
    <xf numFmtId="165" fontId="27" fillId="2" borderId="2" xfId="0" applyNumberFormat="1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9" fillId="6" borderId="1" xfId="0" applyFont="1" applyFill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49" fontId="4" fillId="8" borderId="1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left" vertical="center"/>
    </xf>
    <xf numFmtId="165" fontId="31" fillId="8" borderId="2" xfId="0" applyNumberFormat="1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9" fillId="9" borderId="1" xfId="0" applyFont="1" applyFill="1" applyBorder="1" applyAlignment="1">
      <alignment horizontal="left" vertical="center" wrapText="1"/>
    </xf>
    <xf numFmtId="49" fontId="30" fillId="2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4" fillId="1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9" borderId="1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33" fillId="14" borderId="1" xfId="1" applyFill="1" applyBorder="1" applyAlignment="1">
      <alignment horizontal="center" vertical="center" wrapText="1"/>
    </xf>
    <xf numFmtId="0" fontId="27" fillId="21" borderId="3" xfId="0" applyFont="1" applyFill="1" applyBorder="1" applyAlignment="1">
      <alignment horizontal="center" vertical="center" wrapText="1"/>
    </xf>
    <xf numFmtId="0" fontId="11" fillId="21" borderId="3" xfId="0" applyFont="1" applyFill="1" applyBorder="1" applyAlignment="1">
      <alignment horizontal="left" vertical="center" wrapText="1"/>
    </xf>
    <xf numFmtId="0" fontId="11" fillId="21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left" vertical="center"/>
    </xf>
    <xf numFmtId="0" fontId="20" fillId="15" borderId="1" xfId="0" applyFont="1" applyFill="1" applyBorder="1" applyAlignment="1">
      <alignment horizontal="left" vertical="center"/>
    </xf>
    <xf numFmtId="0" fontId="22" fillId="10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right" vertical="center"/>
    </xf>
    <xf numFmtId="0" fontId="3" fillId="11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0" fontId="4" fillId="5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left" vertical="center"/>
    </xf>
    <xf numFmtId="0" fontId="23" fillId="2" borderId="0" xfId="0" applyFont="1" applyFill="1" applyBorder="1" applyAlignment="1">
      <alignment horizontal="center" vertical="center"/>
    </xf>
    <xf numFmtId="0" fontId="24" fillId="17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left" vertical="center"/>
    </xf>
    <xf numFmtId="0" fontId="24" fillId="18" borderId="0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left" vertical="center"/>
    </xf>
    <xf numFmtId="0" fontId="0" fillId="14" borderId="4" xfId="0" applyFill="1" applyBorder="1"/>
    <xf numFmtId="0" fontId="28" fillId="2" borderId="0" xfId="0" applyFont="1" applyFill="1" applyBorder="1" applyAlignment="1">
      <alignment horizontal="center" vertical="center"/>
    </xf>
    <xf numFmtId="0" fontId="24" fillId="3" borderId="0" xfId="0" applyFont="1" applyFill="1" applyBorder="1" applyAlignment="1">
      <alignment horizontal="center" vertical="center"/>
    </xf>
    <xf numFmtId="0" fontId="32" fillId="14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3">
    <dxf>
      <font>
        <b/>
        <sz val="10"/>
        <color rgb="FF7B0000"/>
        <name val="Arial"/>
        <charset val="1"/>
      </font>
      <fill>
        <patternFill>
          <bgColor rgb="FFFCE4D6"/>
        </patternFill>
      </fill>
    </dxf>
    <dxf>
      <font>
        <b/>
        <sz val="10"/>
        <color rgb="FF843C0C"/>
        <name val="Arial"/>
        <charset val="1"/>
      </font>
      <fill>
        <patternFill>
          <bgColor rgb="FFFFF2CC"/>
        </patternFill>
      </fill>
    </dxf>
    <dxf>
      <font>
        <b/>
        <sz val="10"/>
        <color rgb="FF548235"/>
        <name val="Arial"/>
        <charset val="1"/>
      </font>
      <fill>
        <patternFill>
          <bgColor rgb="FFCCE5C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7B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  <dxf>
      <font>
        <b/>
        <sz val="10"/>
        <color rgb="FF7B0000"/>
        <name val="Arial"/>
        <charset val="1"/>
      </font>
      <fill>
        <patternFill>
          <bgColor rgb="FFFCE4D6"/>
        </patternFill>
      </fill>
    </dxf>
    <dxf>
      <font>
        <b/>
        <sz val="10"/>
        <color rgb="FFC00000"/>
        <name val="Arial"/>
        <charset val="1"/>
      </font>
      <fill>
        <patternFill>
          <bgColor rgb="FFF8D9D0"/>
        </patternFill>
      </fill>
    </dxf>
    <dxf>
      <font>
        <b/>
        <sz val="10"/>
        <color rgb="FF843C0C"/>
        <name val="Arial"/>
        <charset val="1"/>
      </font>
      <fill>
        <patternFill>
          <bgColor rgb="FFFFF2CC"/>
        </patternFill>
      </fill>
    </dxf>
    <dxf>
      <font>
        <b/>
        <sz val="10"/>
        <color rgb="FF548235"/>
        <name val="Arial"/>
        <charset val="1"/>
      </font>
      <fill>
        <patternFill>
          <bgColor rgb="FFCCE5CC"/>
        </patternFill>
      </fill>
    </dxf>
    <dxf>
      <font>
        <b/>
        <sz val="10"/>
        <color rgb="FF375623"/>
        <name val="Arial"/>
        <charset val="1"/>
      </font>
      <fill>
        <patternFill>
          <bgColor rgb="FFE2EFDA"/>
        </patternFill>
      </fill>
    </dxf>
    <dxf>
      <font>
        <b/>
        <sz val="9"/>
        <color rgb="FF7B0000"/>
        <name val="Arial"/>
        <charset val="1"/>
      </font>
      <fill>
        <patternFill>
          <bgColor rgb="FFFCE4D6"/>
        </patternFill>
      </fill>
    </dxf>
    <dxf>
      <font>
        <b/>
        <sz val="9"/>
        <color rgb="FF375623"/>
        <name val="Arial"/>
        <charset val="1"/>
      </font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7B0000"/>
      <rgbColor rgb="FF008000"/>
      <rgbColor rgb="FF000080"/>
      <rgbColor rgb="FF548235"/>
      <rgbColor rgb="FF800080"/>
      <rgbColor rgb="FF006B6B"/>
      <rgbColor rgb="FFBFBFBF"/>
      <rgbColor rgb="FF808080"/>
      <rgbColor rgb="FF9999FF"/>
      <rgbColor rgb="FF7030A0"/>
      <rgbColor rgb="FFFFF2CC"/>
      <rgbColor rgb="FFE0F2F1"/>
      <rgbColor rgb="FF660066"/>
      <rgbColor rgb="FFFF8080"/>
      <rgbColor rgb="FF2E5D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E2EFDA"/>
      <rgbColor rgb="FFFCE4D6"/>
      <rgbColor rgb="FFCCE5CC"/>
      <rgbColor rgb="FFF4EAFB"/>
      <rgbColor rgb="FFE0E0E0"/>
      <rgbColor rgb="FFF8D9D0"/>
      <rgbColor rgb="FF4472C4"/>
      <rgbColor rgb="FF33CCCC"/>
      <rgbColor rgb="FF99CC00"/>
      <rgbColor rgb="FFFFCC00"/>
      <rgbColor rgb="FFC9A227"/>
      <rgbColor rgb="FFC55A11"/>
      <rgbColor rgb="FF666699"/>
      <rgbColor rgb="FF969696"/>
      <rgbColor rgb="FF1F3864"/>
      <rgbColor rgb="FF339966"/>
      <rgbColor rgb="FF003300"/>
      <rgbColor rgb="FF375623"/>
      <rgbColor rgb="FF843C0C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52"/>
  <sheetViews>
    <sheetView showGridLines="0" tabSelected="1" topLeftCell="A25" zoomScaleNormal="100" workbookViewId="0">
      <selection activeCell="H47" sqref="H47"/>
    </sheetView>
  </sheetViews>
  <sheetFormatPr defaultColWidth="8.6640625" defaultRowHeight="14.4" x14ac:dyDescent="0.3"/>
  <cols>
    <col min="1" max="1" width="2" customWidth="1"/>
    <col min="2" max="2" width="8" customWidth="1"/>
    <col min="3" max="3" width="45" customWidth="1"/>
    <col min="4" max="5" width="12" customWidth="1"/>
    <col min="6" max="6" width="14" customWidth="1"/>
    <col min="7" max="7" width="2" customWidth="1"/>
  </cols>
  <sheetData>
    <row r="1" spans="2:6" ht="4.5" customHeight="1" x14ac:dyDescent="0.3"/>
    <row r="2" spans="2:6" ht="31.5" customHeight="1" x14ac:dyDescent="0.3">
      <c r="B2" s="78" t="s">
        <v>0</v>
      </c>
      <c r="C2" s="78"/>
      <c r="D2" s="78"/>
      <c r="E2" s="78"/>
      <c r="F2" s="78"/>
    </row>
    <row r="3" spans="2:6" ht="18" customHeight="1" x14ac:dyDescent="0.3">
      <c r="B3" s="79" t="s">
        <v>1</v>
      </c>
      <c r="C3" s="79"/>
      <c r="D3" s="79"/>
      <c r="E3" s="79"/>
      <c r="F3" s="79"/>
    </row>
    <row r="4" spans="2:6" ht="6" customHeight="1" x14ac:dyDescent="0.3"/>
    <row r="5" spans="2:6" ht="19.5" customHeight="1" x14ac:dyDescent="0.3">
      <c r="B5" s="80" t="s">
        <v>2</v>
      </c>
      <c r="C5" s="80"/>
      <c r="D5" s="80"/>
      <c r="E5" s="80"/>
      <c r="F5" s="80"/>
    </row>
    <row r="6" spans="2:6" ht="18" customHeight="1" x14ac:dyDescent="0.3">
      <c r="B6" s="81" t="s">
        <v>3</v>
      </c>
      <c r="C6" s="81"/>
      <c r="D6" s="81"/>
      <c r="E6" s="81"/>
      <c r="F6" s="81"/>
    </row>
    <row r="7" spans="2:6" ht="18" customHeight="1" x14ac:dyDescent="0.3">
      <c r="B7" s="81"/>
      <c r="C7" s="81"/>
      <c r="D7" s="81"/>
      <c r="E7" s="81"/>
      <c r="F7" s="81"/>
    </row>
    <row r="8" spans="2:6" ht="18" customHeight="1" x14ac:dyDescent="0.3">
      <c r="B8" s="81"/>
      <c r="C8" s="81"/>
      <c r="D8" s="81"/>
      <c r="E8" s="81"/>
      <c r="F8" s="81"/>
    </row>
    <row r="9" spans="2:6" ht="7.5" customHeight="1" x14ac:dyDescent="0.3"/>
    <row r="10" spans="2:6" ht="19.5" customHeight="1" x14ac:dyDescent="0.3">
      <c r="B10" s="82" t="s">
        <v>4</v>
      </c>
      <c r="C10" s="82"/>
      <c r="D10" s="82"/>
      <c r="E10" s="82"/>
      <c r="F10" s="82"/>
    </row>
    <row r="11" spans="2:6" ht="24" customHeight="1" x14ac:dyDescent="0.3">
      <c r="B11" s="1" t="s">
        <v>5</v>
      </c>
      <c r="C11" s="1" t="s">
        <v>6</v>
      </c>
      <c r="D11" s="1" t="s">
        <v>7</v>
      </c>
      <c r="E11" s="1" t="s">
        <v>8</v>
      </c>
      <c r="F11" s="1" t="s">
        <v>9</v>
      </c>
    </row>
    <row r="12" spans="2:6" ht="18" customHeight="1" x14ac:dyDescent="0.3">
      <c r="B12" s="2" t="s">
        <v>10</v>
      </c>
      <c r="C12" s="3" t="s">
        <v>11</v>
      </c>
      <c r="D12" s="4">
        <v>15</v>
      </c>
      <c r="E12" s="5">
        <f t="shared" ref="E12:E42" si="0">D12/100</f>
        <v>0.15</v>
      </c>
      <c r="F12" s="6" t="s">
        <v>12</v>
      </c>
    </row>
    <row r="13" spans="2:6" ht="18" customHeight="1" x14ac:dyDescent="0.3">
      <c r="B13" s="7" t="s">
        <v>13</v>
      </c>
      <c r="C13" s="8" t="s">
        <v>14</v>
      </c>
      <c r="D13" s="9">
        <v>5</v>
      </c>
      <c r="E13" s="10">
        <f t="shared" si="0"/>
        <v>0.05</v>
      </c>
      <c r="F13" s="11" t="s">
        <v>15</v>
      </c>
    </row>
    <row r="14" spans="2:6" ht="18" customHeight="1" x14ac:dyDescent="0.3">
      <c r="B14" s="7" t="s">
        <v>16</v>
      </c>
      <c r="C14" s="12" t="s">
        <v>17</v>
      </c>
      <c r="D14" s="9">
        <v>3</v>
      </c>
      <c r="E14" s="10">
        <f t="shared" si="0"/>
        <v>0.03</v>
      </c>
      <c r="F14" s="13"/>
    </row>
    <row r="15" spans="2:6" ht="18" customHeight="1" x14ac:dyDescent="0.3">
      <c r="B15" s="7" t="s">
        <v>18</v>
      </c>
      <c r="C15" s="8" t="s">
        <v>19</v>
      </c>
      <c r="D15" s="9">
        <v>2</v>
      </c>
      <c r="E15" s="10">
        <f t="shared" si="0"/>
        <v>0.02</v>
      </c>
      <c r="F15" s="14"/>
    </row>
    <row r="16" spans="2:6" ht="18" customHeight="1" x14ac:dyDescent="0.3">
      <c r="B16" s="7" t="s">
        <v>20</v>
      </c>
      <c r="C16" s="12" t="s">
        <v>21</v>
      </c>
      <c r="D16" s="9">
        <v>5</v>
      </c>
      <c r="E16" s="10">
        <f t="shared" si="0"/>
        <v>0.05</v>
      </c>
      <c r="F16" s="11" t="s">
        <v>15</v>
      </c>
    </row>
    <row r="17" spans="2:6" ht="18" customHeight="1" x14ac:dyDescent="0.3">
      <c r="B17" s="2" t="s">
        <v>22</v>
      </c>
      <c r="C17" s="3" t="s">
        <v>23</v>
      </c>
      <c r="D17" s="4">
        <v>20</v>
      </c>
      <c r="E17" s="5">
        <f t="shared" si="0"/>
        <v>0.2</v>
      </c>
      <c r="F17" s="6" t="s">
        <v>24</v>
      </c>
    </row>
    <row r="18" spans="2:6" ht="18" customHeight="1" x14ac:dyDescent="0.3">
      <c r="B18" s="7" t="s">
        <v>25</v>
      </c>
      <c r="C18" s="12" t="s">
        <v>26</v>
      </c>
      <c r="D18" s="9">
        <v>8</v>
      </c>
      <c r="E18" s="10">
        <f t="shared" si="0"/>
        <v>0.08</v>
      </c>
      <c r="F18" s="13"/>
    </row>
    <row r="19" spans="2:6" ht="18" customHeight="1" x14ac:dyDescent="0.3">
      <c r="B19" s="7" t="s">
        <v>27</v>
      </c>
      <c r="C19" s="8" t="s">
        <v>28</v>
      </c>
      <c r="D19" s="9">
        <v>5</v>
      </c>
      <c r="E19" s="10">
        <f t="shared" si="0"/>
        <v>0.05</v>
      </c>
      <c r="F19" s="14"/>
    </row>
    <row r="20" spans="2:6" ht="18" customHeight="1" x14ac:dyDescent="0.3">
      <c r="B20" s="7" t="s">
        <v>29</v>
      </c>
      <c r="C20" s="12" t="s">
        <v>30</v>
      </c>
      <c r="D20" s="9">
        <v>3</v>
      </c>
      <c r="E20" s="10">
        <f t="shared" si="0"/>
        <v>0.03</v>
      </c>
      <c r="F20" s="13"/>
    </row>
    <row r="21" spans="2:6" ht="18" customHeight="1" x14ac:dyDescent="0.3">
      <c r="B21" s="7" t="s">
        <v>31</v>
      </c>
      <c r="C21" s="8" t="s">
        <v>32</v>
      </c>
      <c r="D21" s="9">
        <v>4</v>
      </c>
      <c r="E21" s="10">
        <f t="shared" si="0"/>
        <v>0.04</v>
      </c>
      <c r="F21" s="14"/>
    </row>
    <row r="22" spans="2:6" ht="18" customHeight="1" x14ac:dyDescent="0.3">
      <c r="B22" s="2" t="s">
        <v>33</v>
      </c>
      <c r="C22" s="3" t="s">
        <v>34</v>
      </c>
      <c r="D22" s="4">
        <v>25</v>
      </c>
      <c r="E22" s="5">
        <f t="shared" si="0"/>
        <v>0.25</v>
      </c>
      <c r="F22" s="6" t="s">
        <v>35</v>
      </c>
    </row>
    <row r="23" spans="2:6" ht="18" customHeight="1" x14ac:dyDescent="0.3">
      <c r="B23" s="7" t="s">
        <v>36</v>
      </c>
      <c r="C23" s="8" t="s">
        <v>37</v>
      </c>
      <c r="D23" s="9">
        <v>9</v>
      </c>
      <c r="E23" s="10">
        <f t="shared" si="0"/>
        <v>0.09</v>
      </c>
      <c r="F23" s="14"/>
    </row>
    <row r="24" spans="2:6" ht="18" customHeight="1" x14ac:dyDescent="0.3">
      <c r="B24" s="7" t="s">
        <v>38</v>
      </c>
      <c r="C24" s="12" t="s">
        <v>39</v>
      </c>
      <c r="D24" s="9">
        <v>7</v>
      </c>
      <c r="E24" s="10">
        <f t="shared" si="0"/>
        <v>7.0000000000000007E-2</v>
      </c>
      <c r="F24" s="13"/>
    </row>
    <row r="25" spans="2:6" ht="18" customHeight="1" x14ac:dyDescent="0.3">
      <c r="B25" s="7" t="s">
        <v>40</v>
      </c>
      <c r="C25" s="8" t="s">
        <v>41</v>
      </c>
      <c r="D25" s="9">
        <v>4</v>
      </c>
      <c r="E25" s="10">
        <f t="shared" si="0"/>
        <v>0.04</v>
      </c>
      <c r="F25" s="14"/>
    </row>
    <row r="26" spans="2:6" ht="18" customHeight="1" x14ac:dyDescent="0.3">
      <c r="B26" s="7" t="s">
        <v>42</v>
      </c>
      <c r="C26" s="12" t="s">
        <v>43</v>
      </c>
      <c r="D26" s="9">
        <v>5</v>
      </c>
      <c r="E26" s="10">
        <f t="shared" si="0"/>
        <v>0.05</v>
      </c>
      <c r="F26" s="13"/>
    </row>
    <row r="27" spans="2:6" ht="18" customHeight="1" x14ac:dyDescent="0.3">
      <c r="B27" s="2" t="s">
        <v>44</v>
      </c>
      <c r="C27" s="3" t="s">
        <v>45</v>
      </c>
      <c r="D27" s="4">
        <v>10</v>
      </c>
      <c r="E27" s="5">
        <f t="shared" si="0"/>
        <v>0.1</v>
      </c>
      <c r="F27" s="6" t="s">
        <v>46</v>
      </c>
    </row>
    <row r="28" spans="2:6" ht="18" customHeight="1" x14ac:dyDescent="0.3">
      <c r="B28" s="7" t="s">
        <v>47</v>
      </c>
      <c r="C28" s="12" t="s">
        <v>48</v>
      </c>
      <c r="D28" s="9">
        <v>3</v>
      </c>
      <c r="E28" s="10">
        <f t="shared" si="0"/>
        <v>0.03</v>
      </c>
      <c r="F28" s="13"/>
    </row>
    <row r="29" spans="2:6" ht="18" customHeight="1" x14ac:dyDescent="0.3">
      <c r="B29" s="7" t="s">
        <v>49</v>
      </c>
      <c r="C29" s="8" t="s">
        <v>50</v>
      </c>
      <c r="D29" s="9">
        <v>4</v>
      </c>
      <c r="E29" s="10">
        <f t="shared" si="0"/>
        <v>0.04</v>
      </c>
      <c r="F29" s="14"/>
    </row>
    <row r="30" spans="2:6" ht="18" customHeight="1" x14ac:dyDescent="0.3">
      <c r="B30" s="7" t="s">
        <v>51</v>
      </c>
      <c r="C30" s="12" t="s">
        <v>52</v>
      </c>
      <c r="D30" s="9">
        <v>3</v>
      </c>
      <c r="E30" s="10">
        <f t="shared" si="0"/>
        <v>0.03</v>
      </c>
      <c r="F30" s="13"/>
    </row>
    <row r="31" spans="2:6" ht="18" customHeight="1" x14ac:dyDescent="0.3">
      <c r="B31" s="2" t="s">
        <v>53</v>
      </c>
      <c r="C31" s="3" t="s">
        <v>54</v>
      </c>
      <c r="D31" s="4">
        <v>15</v>
      </c>
      <c r="E31" s="5">
        <f t="shared" si="0"/>
        <v>0.15</v>
      </c>
      <c r="F31" s="6" t="s">
        <v>55</v>
      </c>
    </row>
    <row r="32" spans="2:6" ht="18" customHeight="1" x14ac:dyDescent="0.3">
      <c r="B32" s="7" t="s">
        <v>56</v>
      </c>
      <c r="C32" s="12" t="s">
        <v>57</v>
      </c>
      <c r="D32" s="9">
        <v>4</v>
      </c>
      <c r="E32" s="10">
        <f t="shared" si="0"/>
        <v>0.04</v>
      </c>
      <c r="F32" s="13"/>
    </row>
    <row r="33" spans="2:6" ht="18" customHeight="1" x14ac:dyDescent="0.3">
      <c r="B33" s="7" t="s">
        <v>58</v>
      </c>
      <c r="C33" s="8" t="s">
        <v>59</v>
      </c>
      <c r="D33" s="9">
        <v>4</v>
      </c>
      <c r="E33" s="10">
        <f t="shared" si="0"/>
        <v>0.04</v>
      </c>
      <c r="F33" s="14"/>
    </row>
    <row r="34" spans="2:6" ht="18" customHeight="1" x14ac:dyDescent="0.3">
      <c r="B34" s="7" t="s">
        <v>60</v>
      </c>
      <c r="C34" s="12" t="s">
        <v>61</v>
      </c>
      <c r="D34" s="9">
        <v>3</v>
      </c>
      <c r="E34" s="10">
        <f t="shared" si="0"/>
        <v>0.03</v>
      </c>
      <c r="F34" s="13"/>
    </row>
    <row r="35" spans="2:6" ht="18" customHeight="1" x14ac:dyDescent="0.3">
      <c r="B35" s="7" t="s">
        <v>62</v>
      </c>
      <c r="C35" s="8" t="s">
        <v>63</v>
      </c>
      <c r="D35" s="9">
        <v>4</v>
      </c>
      <c r="E35" s="10">
        <f t="shared" si="0"/>
        <v>0.04</v>
      </c>
      <c r="F35" s="14"/>
    </row>
    <row r="36" spans="2:6" ht="18" customHeight="1" x14ac:dyDescent="0.3">
      <c r="B36" s="2" t="s">
        <v>64</v>
      </c>
      <c r="C36" s="3" t="s">
        <v>65</v>
      </c>
      <c r="D36" s="4">
        <v>10</v>
      </c>
      <c r="E36" s="5">
        <f t="shared" si="0"/>
        <v>0.1</v>
      </c>
      <c r="F36" s="6" t="s">
        <v>66</v>
      </c>
    </row>
    <row r="37" spans="2:6" ht="18" customHeight="1" x14ac:dyDescent="0.3">
      <c r="B37" s="7" t="s">
        <v>67</v>
      </c>
      <c r="C37" s="8" t="s">
        <v>68</v>
      </c>
      <c r="D37" s="9">
        <v>4</v>
      </c>
      <c r="E37" s="10">
        <f t="shared" si="0"/>
        <v>0.04</v>
      </c>
      <c r="F37" s="11" t="s">
        <v>15</v>
      </c>
    </row>
    <row r="38" spans="2:6" ht="18" customHeight="1" x14ac:dyDescent="0.3">
      <c r="B38" s="7" t="s">
        <v>69</v>
      </c>
      <c r="C38" s="12" t="s">
        <v>70</v>
      </c>
      <c r="D38" s="9">
        <v>3</v>
      </c>
      <c r="E38" s="10">
        <f t="shared" si="0"/>
        <v>0.03</v>
      </c>
      <c r="F38" s="13"/>
    </row>
    <row r="39" spans="2:6" ht="18" customHeight="1" x14ac:dyDescent="0.3">
      <c r="B39" s="7" t="s">
        <v>71</v>
      </c>
      <c r="C39" s="8" t="s">
        <v>72</v>
      </c>
      <c r="D39" s="9">
        <v>3</v>
      </c>
      <c r="E39" s="10">
        <f t="shared" si="0"/>
        <v>0.03</v>
      </c>
      <c r="F39" s="14"/>
    </row>
    <row r="40" spans="2:6" ht="18" customHeight="1" x14ac:dyDescent="0.3">
      <c r="B40" s="2" t="s">
        <v>73</v>
      </c>
      <c r="C40" s="3" t="s">
        <v>74</v>
      </c>
      <c r="D40" s="4">
        <v>5</v>
      </c>
      <c r="E40" s="5">
        <f t="shared" si="0"/>
        <v>0.05</v>
      </c>
      <c r="F40" s="6" t="s">
        <v>75</v>
      </c>
    </row>
    <row r="41" spans="2:6" ht="18" customHeight="1" x14ac:dyDescent="0.3">
      <c r="B41" s="7" t="s">
        <v>76</v>
      </c>
      <c r="C41" s="8" t="s">
        <v>77</v>
      </c>
      <c r="D41" s="9">
        <v>3</v>
      </c>
      <c r="E41" s="10">
        <f t="shared" si="0"/>
        <v>0.03</v>
      </c>
      <c r="F41" s="14"/>
    </row>
    <row r="42" spans="2:6" ht="18" customHeight="1" x14ac:dyDescent="0.3">
      <c r="B42" s="7" t="s">
        <v>78</v>
      </c>
      <c r="C42" s="12" t="s">
        <v>79</v>
      </c>
      <c r="D42" s="9">
        <v>2</v>
      </c>
      <c r="E42" s="10">
        <f t="shared" si="0"/>
        <v>0.02</v>
      </c>
      <c r="F42" s="13"/>
    </row>
    <row r="44" spans="2:6" ht="7.5" customHeight="1" x14ac:dyDescent="0.3">
      <c r="B44" s="73" t="s">
        <v>80</v>
      </c>
      <c r="C44" s="73"/>
      <c r="D44" s="15">
        <f>D12+D17+D22+D27+D31+D36+D40</f>
        <v>100</v>
      </c>
      <c r="E44" s="16">
        <f>D44/100</f>
        <v>1</v>
      </c>
      <c r="F44" s="17" t="s">
        <v>81</v>
      </c>
    </row>
    <row r="45" spans="2:6" ht="19.5" customHeight="1" x14ac:dyDescent="0.3">
      <c r="B45" s="74" t="s">
        <v>82</v>
      </c>
      <c r="C45" s="74"/>
      <c r="D45" s="74"/>
      <c r="E45" s="74"/>
      <c r="F45" s="74"/>
    </row>
    <row r="46" spans="2:6" ht="21.75" customHeight="1" x14ac:dyDescent="0.3">
      <c r="B46" s="18" t="s">
        <v>83</v>
      </c>
      <c r="C46" s="18" t="s">
        <v>84</v>
      </c>
      <c r="D46" s="75" t="s">
        <v>85</v>
      </c>
      <c r="E46" s="75"/>
      <c r="F46" s="75"/>
    </row>
    <row r="47" spans="2:6" ht="19.5" customHeight="1" x14ac:dyDescent="0.3">
      <c r="B47" s="19" t="s">
        <v>86</v>
      </c>
      <c r="C47" s="19" t="s">
        <v>87</v>
      </c>
      <c r="D47" s="76" t="s">
        <v>88</v>
      </c>
      <c r="E47" s="76"/>
      <c r="F47" s="76"/>
    </row>
    <row r="48" spans="2:6" ht="19.5" customHeight="1" x14ac:dyDescent="0.3">
      <c r="B48" s="20" t="s">
        <v>89</v>
      </c>
      <c r="C48" s="20" t="s">
        <v>90</v>
      </c>
      <c r="D48" s="77" t="s">
        <v>91</v>
      </c>
      <c r="E48" s="77"/>
      <c r="F48" s="77"/>
    </row>
    <row r="49" spans="2:6" ht="19.5" customHeight="1" x14ac:dyDescent="0.3">
      <c r="B49" s="21" t="s">
        <v>92</v>
      </c>
      <c r="C49" s="21" t="s">
        <v>93</v>
      </c>
      <c r="D49" s="69" t="s">
        <v>94</v>
      </c>
      <c r="E49" s="69"/>
      <c r="F49" s="69"/>
    </row>
    <row r="50" spans="2:6" ht="19.5" customHeight="1" x14ac:dyDescent="0.3">
      <c r="B50" s="22" t="s">
        <v>95</v>
      </c>
      <c r="C50" s="22" t="s">
        <v>96</v>
      </c>
      <c r="D50" s="70" t="s">
        <v>97</v>
      </c>
      <c r="E50" s="70"/>
      <c r="F50" s="70"/>
    </row>
    <row r="51" spans="2:6" ht="19.5" customHeight="1" x14ac:dyDescent="0.3">
      <c r="B51" s="23" t="s">
        <v>98</v>
      </c>
      <c r="C51" s="23" t="s">
        <v>99</v>
      </c>
      <c r="D51" s="71" t="s">
        <v>100</v>
      </c>
      <c r="E51" s="71"/>
      <c r="F51" s="71"/>
    </row>
    <row r="52" spans="2:6" ht="19.5" customHeight="1" x14ac:dyDescent="0.3">
      <c r="B52" s="24" t="s">
        <v>101</v>
      </c>
      <c r="C52" s="24" t="s">
        <v>102</v>
      </c>
      <c r="D52" s="72" t="s">
        <v>103</v>
      </c>
      <c r="E52" s="72"/>
      <c r="F52" s="72"/>
    </row>
  </sheetData>
  <mergeCells count="14">
    <mergeCell ref="B2:F2"/>
    <mergeCell ref="B3:F3"/>
    <mergeCell ref="B5:F5"/>
    <mergeCell ref="B6:F8"/>
    <mergeCell ref="B10:F10"/>
    <mergeCell ref="D49:F49"/>
    <mergeCell ref="D50:F50"/>
    <mergeCell ref="D51:F51"/>
    <mergeCell ref="D52:F52"/>
    <mergeCell ref="B44:C44"/>
    <mergeCell ref="B45:F45"/>
    <mergeCell ref="D46:F46"/>
    <mergeCell ref="D47:F47"/>
    <mergeCell ref="D48:F4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6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9" sqref="D9"/>
    </sheetView>
  </sheetViews>
  <sheetFormatPr defaultColWidth="8.6640625" defaultRowHeight="14.4" x14ac:dyDescent="0.3"/>
  <cols>
    <col min="1" max="1" width="2" customWidth="1"/>
    <col min="2" max="2" width="32" customWidth="1"/>
    <col min="3" max="17" width="26" customWidth="1"/>
    <col min="18" max="18" width="2" customWidth="1"/>
  </cols>
  <sheetData>
    <row r="1" spans="2:17" ht="4.5" customHeight="1" x14ac:dyDescent="0.3"/>
    <row r="2" spans="2:17" ht="31.5" customHeight="1" x14ac:dyDescent="0.3">
      <c r="B2" s="83" t="s">
        <v>104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</row>
    <row r="3" spans="2:17" ht="13.5" customHeight="1" x14ac:dyDescent="0.3">
      <c r="B3" s="84" t="s">
        <v>105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</row>
    <row r="4" spans="2:17" ht="6" customHeight="1" x14ac:dyDescent="0.3"/>
    <row r="5" spans="2:17" s="57" customFormat="1" ht="21.75" customHeight="1" x14ac:dyDescent="0.3">
      <c r="B5" s="18" t="s">
        <v>106</v>
      </c>
      <c r="C5" s="25" t="s">
        <v>107</v>
      </c>
      <c r="D5" s="25" t="s">
        <v>108</v>
      </c>
      <c r="E5" s="25" t="s">
        <v>109</v>
      </c>
      <c r="F5" s="25" t="s">
        <v>110</v>
      </c>
      <c r="G5" s="25" t="s">
        <v>111</v>
      </c>
      <c r="H5" s="25" t="s">
        <v>112</v>
      </c>
      <c r="I5" s="25" t="s">
        <v>113</v>
      </c>
      <c r="J5" s="25" t="s">
        <v>114</v>
      </c>
      <c r="K5" s="25" t="s">
        <v>115</v>
      </c>
      <c r="L5" s="25" t="s">
        <v>116</v>
      </c>
      <c r="M5" s="25" t="s">
        <v>117</v>
      </c>
      <c r="N5" s="25" t="s">
        <v>118</v>
      </c>
      <c r="O5" s="25" t="s">
        <v>119</v>
      </c>
      <c r="P5" s="25" t="s">
        <v>120</v>
      </c>
      <c r="Q5" s="25" t="s">
        <v>121</v>
      </c>
    </row>
    <row r="6" spans="2:17" s="60" customFormat="1" x14ac:dyDescent="0.3">
      <c r="B6" s="58" t="s">
        <v>122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</row>
    <row r="7" spans="2:17" s="60" customFormat="1" x14ac:dyDescent="0.3">
      <c r="B7" s="61" t="s">
        <v>123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</row>
    <row r="8" spans="2:17" s="60" customFormat="1" x14ac:dyDescent="0.3">
      <c r="B8" s="61" t="s">
        <v>124</v>
      </c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</row>
    <row r="9" spans="2:17" s="60" customFormat="1" x14ac:dyDescent="0.3">
      <c r="B9" s="61" t="s">
        <v>125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</row>
    <row r="10" spans="2:17" s="60" customFormat="1" x14ac:dyDescent="0.3">
      <c r="B10" s="61" t="s">
        <v>126</v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</row>
    <row r="11" spans="2:17" s="60" customFormat="1" x14ac:dyDescent="0.3">
      <c r="B11" s="61" t="s">
        <v>127</v>
      </c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</row>
    <row r="12" spans="2:17" s="60" customFormat="1" x14ac:dyDescent="0.3">
      <c r="B12" s="61" t="s">
        <v>128</v>
      </c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spans="2:17" s="60" customFormat="1" x14ac:dyDescent="0.3">
      <c r="B13" s="61" t="s">
        <v>129</v>
      </c>
      <c r="C13" s="62"/>
      <c r="D13" s="62"/>
      <c r="E13" s="62"/>
      <c r="F13" s="62"/>
      <c r="G13" s="62"/>
      <c r="H13" s="63"/>
      <c r="I13" s="62"/>
      <c r="J13" s="62"/>
      <c r="K13" s="62"/>
      <c r="L13" s="63"/>
      <c r="M13" s="62"/>
      <c r="N13" s="62"/>
      <c r="O13" s="62"/>
      <c r="P13" s="62"/>
      <c r="Q13" s="62"/>
    </row>
    <row r="14" spans="2:17" s="60" customFormat="1" x14ac:dyDescent="0.3">
      <c r="B14" s="61" t="s">
        <v>130</v>
      </c>
      <c r="C14" s="62"/>
      <c r="D14" s="62"/>
      <c r="E14" s="62"/>
      <c r="F14" s="62"/>
      <c r="G14" s="62"/>
      <c r="H14" s="62"/>
      <c r="I14" s="62"/>
      <c r="J14" s="62"/>
      <c r="K14" s="62"/>
      <c r="L14" s="63"/>
      <c r="M14" s="62"/>
      <c r="N14" s="62"/>
      <c r="O14" s="62"/>
      <c r="P14" s="62"/>
      <c r="Q14" s="62"/>
    </row>
    <row r="15" spans="2:17" s="60" customFormat="1" x14ac:dyDescent="0.3">
      <c r="B15" s="61" t="s">
        <v>131</v>
      </c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</row>
    <row r="16" spans="2:17" s="60" customFormat="1" x14ac:dyDescent="0.3">
      <c r="B16" s="61" t="s">
        <v>132</v>
      </c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</row>
  </sheetData>
  <mergeCells count="2">
    <mergeCell ref="B2:Q2"/>
    <mergeCell ref="B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36"/>
  <sheetViews>
    <sheetView showGridLines="0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F30" sqref="F30"/>
    </sheetView>
  </sheetViews>
  <sheetFormatPr defaultColWidth="8.6640625" defaultRowHeight="14.4" x14ac:dyDescent="0.3"/>
  <cols>
    <col min="1" max="1" width="2" customWidth="1"/>
    <col min="2" max="2" width="8" customWidth="1"/>
    <col min="3" max="3" width="42" customWidth="1"/>
    <col min="4" max="4" width="10" customWidth="1"/>
    <col min="5" max="19" width="15" customWidth="1"/>
    <col min="20" max="20" width="2" customWidth="1"/>
  </cols>
  <sheetData>
    <row r="1" spans="2:19" ht="4.5" customHeight="1" x14ac:dyDescent="0.3"/>
    <row r="2" spans="2:19" ht="31.5" customHeight="1" x14ac:dyDescent="0.3">
      <c r="B2" s="83" t="s">
        <v>133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</row>
    <row r="3" spans="2:19" ht="13.5" customHeight="1" x14ac:dyDescent="0.3">
      <c r="B3" s="84" t="s">
        <v>134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</row>
    <row r="4" spans="2:19" ht="6" customHeight="1" x14ac:dyDescent="0.3"/>
    <row r="5" spans="2:19" ht="33.6" customHeight="1" x14ac:dyDescent="0.3">
      <c r="B5" s="18" t="s">
        <v>5</v>
      </c>
      <c r="C5" s="18" t="s">
        <v>135</v>
      </c>
      <c r="D5" s="18" t="s">
        <v>136</v>
      </c>
      <c r="E5" s="1">
        <f>'2. İştirakçı Məlumatları'!C6</f>
        <v>0</v>
      </c>
      <c r="F5" s="1">
        <f>'2. İştirakçı Məlumatları'!D6</f>
        <v>0</v>
      </c>
      <c r="G5" s="1">
        <f>'2. İştirakçı Məlumatları'!E6</f>
        <v>0</v>
      </c>
      <c r="H5" s="1">
        <f>'2. İştirakçı Məlumatları'!F6</f>
        <v>0</v>
      </c>
      <c r="I5" s="1">
        <f>'2. İştirakçı Məlumatları'!G6</f>
        <v>0</v>
      </c>
      <c r="J5" s="1">
        <f>'2. İştirakçı Məlumatları'!H6</f>
        <v>0</v>
      </c>
      <c r="K5" s="1">
        <f>'2. İştirakçı Məlumatları'!I6</f>
        <v>0</v>
      </c>
      <c r="L5" s="1">
        <f>'2. İştirakçı Məlumatları'!J6</f>
        <v>0</v>
      </c>
      <c r="M5" s="1">
        <f>'2. İştirakçı Məlumatları'!K6</f>
        <v>0</v>
      </c>
      <c r="N5" s="1">
        <f>'2. İştirakçı Məlumatları'!L6</f>
        <v>0</v>
      </c>
      <c r="O5" s="1">
        <f>'2. İştirakçı Məlumatları'!M6</f>
        <v>0</v>
      </c>
      <c r="P5" s="1">
        <f>'2. İştirakçı Məlumatları'!N6</f>
        <v>0</v>
      </c>
      <c r="Q5" s="1">
        <f>'2. İştirakçı Məlumatları'!O6</f>
        <v>0</v>
      </c>
      <c r="R5" s="1">
        <f>'2. İştirakçı Məlumatları'!P6</f>
        <v>0</v>
      </c>
      <c r="S5" s="1">
        <f>'2. İştirakçı Məlumatları'!Q6</f>
        <v>0</v>
      </c>
    </row>
    <row r="6" spans="2:19" ht="19.5" customHeight="1" x14ac:dyDescent="0.3">
      <c r="B6" s="52" t="s">
        <v>137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</row>
    <row r="7" spans="2:19" ht="18" customHeight="1" x14ac:dyDescent="0.3">
      <c r="B7" s="7" t="s">
        <v>13</v>
      </c>
      <c r="C7" s="8" t="s">
        <v>138</v>
      </c>
      <c r="D7" s="29" t="s">
        <v>139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</row>
    <row r="8" spans="2:19" ht="18" customHeight="1" x14ac:dyDescent="0.3">
      <c r="B8" s="30" t="s">
        <v>16</v>
      </c>
      <c r="C8" s="12" t="s">
        <v>140</v>
      </c>
      <c r="D8" s="29" t="s">
        <v>141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2:19" ht="18" customHeight="1" x14ac:dyDescent="0.3">
      <c r="B9" s="7" t="s">
        <v>18</v>
      </c>
      <c r="C9" s="8" t="s">
        <v>142</v>
      </c>
      <c r="D9" s="29" t="s">
        <v>139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</row>
    <row r="10" spans="2:19" ht="18" customHeight="1" x14ac:dyDescent="0.3">
      <c r="B10" s="30" t="s">
        <v>20</v>
      </c>
      <c r="C10" s="12" t="s">
        <v>143</v>
      </c>
      <c r="D10" s="29" t="s">
        <v>139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</row>
    <row r="11" spans="2:19" ht="19.5" customHeight="1" x14ac:dyDescent="0.3">
      <c r="B11" s="52" t="s">
        <v>144</v>
      </c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</row>
    <row r="12" spans="2:19" ht="18" customHeight="1" x14ac:dyDescent="0.3">
      <c r="B12" s="30" t="s">
        <v>25</v>
      </c>
      <c r="C12" s="12" t="s">
        <v>145</v>
      </c>
      <c r="D12" s="29" t="s">
        <v>216</v>
      </c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</row>
    <row r="13" spans="2:19" ht="18" customHeight="1" x14ac:dyDescent="0.3">
      <c r="B13" s="7" t="s">
        <v>27</v>
      </c>
      <c r="C13" s="8" t="s">
        <v>146</v>
      </c>
      <c r="D13" s="29" t="s">
        <v>216</v>
      </c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</row>
    <row r="14" spans="2:19" ht="18" customHeight="1" x14ac:dyDescent="0.3">
      <c r="B14" s="30" t="s">
        <v>29</v>
      </c>
      <c r="C14" s="12" t="s">
        <v>147</v>
      </c>
      <c r="D14" s="29" t="s">
        <v>139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</row>
    <row r="15" spans="2:19" ht="18" customHeight="1" x14ac:dyDescent="0.3">
      <c r="B15" s="7" t="s">
        <v>31</v>
      </c>
      <c r="C15" s="8" t="s">
        <v>148</v>
      </c>
      <c r="D15" s="29" t="s">
        <v>139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</row>
    <row r="16" spans="2:19" ht="19.5" customHeight="1" x14ac:dyDescent="0.3">
      <c r="B16" s="52" t="s">
        <v>149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</row>
    <row r="17" spans="2:19" ht="18" customHeight="1" x14ac:dyDescent="0.3">
      <c r="B17" s="7" t="s">
        <v>36</v>
      </c>
      <c r="C17" s="8" t="s">
        <v>150</v>
      </c>
      <c r="D17" s="29" t="s">
        <v>151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</row>
    <row r="18" spans="2:19" ht="18" customHeight="1" x14ac:dyDescent="0.3">
      <c r="B18" s="30" t="s">
        <v>38</v>
      </c>
      <c r="C18" s="12" t="s">
        <v>152</v>
      </c>
      <c r="D18" s="29" t="s">
        <v>216</v>
      </c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</row>
    <row r="19" spans="2:19" ht="18" customHeight="1" x14ac:dyDescent="0.3">
      <c r="B19" s="7" t="s">
        <v>40</v>
      </c>
      <c r="C19" s="8" t="s">
        <v>153</v>
      </c>
      <c r="D19" s="29" t="s">
        <v>151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</row>
    <row r="20" spans="2:19" ht="18" customHeight="1" x14ac:dyDescent="0.3">
      <c r="B20" s="30" t="s">
        <v>42</v>
      </c>
      <c r="C20" s="12" t="s">
        <v>154</v>
      </c>
      <c r="D20" s="29" t="s">
        <v>139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</row>
    <row r="21" spans="2:19" ht="19.5" customHeight="1" x14ac:dyDescent="0.3">
      <c r="B21" s="52" t="s">
        <v>155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</row>
    <row r="22" spans="2:19" ht="18" customHeight="1" x14ac:dyDescent="0.3">
      <c r="B22" s="30" t="s">
        <v>47</v>
      </c>
      <c r="C22" s="12" t="s">
        <v>156</v>
      </c>
      <c r="D22" s="29" t="s">
        <v>139</v>
      </c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</row>
    <row r="23" spans="2:19" ht="18" customHeight="1" x14ac:dyDescent="0.3">
      <c r="B23" s="7" t="s">
        <v>49</v>
      </c>
      <c r="C23" s="8" t="s">
        <v>157</v>
      </c>
      <c r="D23" s="29" t="s">
        <v>139</v>
      </c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</row>
    <row r="24" spans="2:19" ht="18" customHeight="1" x14ac:dyDescent="0.3">
      <c r="B24" s="30" t="s">
        <v>51</v>
      </c>
      <c r="C24" s="12" t="s">
        <v>158</v>
      </c>
      <c r="D24" s="29" t="s">
        <v>139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</row>
    <row r="25" spans="2:19" ht="19.5" customHeight="1" x14ac:dyDescent="0.3">
      <c r="B25" s="52" t="s">
        <v>159</v>
      </c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</row>
    <row r="26" spans="2:19" ht="18" customHeight="1" x14ac:dyDescent="0.3">
      <c r="B26" s="30" t="s">
        <v>56</v>
      </c>
      <c r="C26" s="12" t="s">
        <v>160</v>
      </c>
      <c r="D26" s="29" t="s">
        <v>161</v>
      </c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</row>
    <row r="27" spans="2:19" ht="18" customHeight="1" x14ac:dyDescent="0.3">
      <c r="B27" s="7" t="s">
        <v>58</v>
      </c>
      <c r="C27" s="8" t="s">
        <v>162</v>
      </c>
      <c r="D27" s="29" t="s">
        <v>161</v>
      </c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</row>
    <row r="28" spans="2:19" ht="18" customHeight="1" x14ac:dyDescent="0.3">
      <c r="B28" s="30" t="s">
        <v>60</v>
      </c>
      <c r="C28" s="12" t="s">
        <v>163</v>
      </c>
      <c r="D28" s="29" t="s">
        <v>139</v>
      </c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</row>
    <row r="29" spans="2:19" ht="18" customHeight="1" x14ac:dyDescent="0.3">
      <c r="B29" s="7" t="s">
        <v>62</v>
      </c>
      <c r="C29" s="8" t="s">
        <v>164</v>
      </c>
      <c r="D29" s="29" t="s">
        <v>139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</row>
    <row r="30" spans="2:19" ht="19.5" customHeight="1" x14ac:dyDescent="0.3">
      <c r="B30" s="52" t="s">
        <v>217</v>
      </c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</row>
    <row r="31" spans="2:19" ht="18" customHeight="1" x14ac:dyDescent="0.3">
      <c r="B31" s="7" t="s">
        <v>67</v>
      </c>
      <c r="C31" s="8" t="s">
        <v>218</v>
      </c>
      <c r="D31" s="29" t="s">
        <v>139</v>
      </c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</row>
    <row r="32" spans="2:19" ht="18" customHeight="1" x14ac:dyDescent="0.3">
      <c r="B32" s="30" t="s">
        <v>69</v>
      </c>
      <c r="C32" s="12" t="s">
        <v>166</v>
      </c>
      <c r="D32" s="29" t="s">
        <v>139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</row>
    <row r="33" spans="2:19" ht="18" customHeight="1" x14ac:dyDescent="0.3">
      <c r="B33" s="7" t="s">
        <v>71</v>
      </c>
      <c r="C33" s="8" t="s">
        <v>167</v>
      </c>
      <c r="D33" s="29" t="s">
        <v>139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</row>
    <row r="34" spans="2:19" ht="19.5" customHeight="1" x14ac:dyDescent="0.3">
      <c r="B34" s="52" t="s">
        <v>168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</row>
    <row r="35" spans="2:19" ht="18" customHeight="1" x14ac:dyDescent="0.3">
      <c r="B35" s="7" t="s">
        <v>76</v>
      </c>
      <c r="C35" s="8" t="s">
        <v>169</v>
      </c>
      <c r="D35" s="29" t="s">
        <v>139</v>
      </c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</row>
    <row r="36" spans="2:19" ht="18" customHeight="1" x14ac:dyDescent="0.3">
      <c r="B36" s="30" t="s">
        <v>78</v>
      </c>
      <c r="C36" s="12" t="s">
        <v>170</v>
      </c>
      <c r="D36" s="29" t="s">
        <v>151</v>
      </c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</row>
  </sheetData>
  <mergeCells count="2">
    <mergeCell ref="B2:S2"/>
    <mergeCell ref="B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49"/>
  <sheetViews>
    <sheetView showGridLines="0" zoomScaleNormal="100" workbookViewId="0">
      <pane xSplit="4" ySplit="5" topLeftCell="E30" activePane="bottomRight" state="frozen"/>
      <selection pane="topRight" activeCell="E1" sqref="E1"/>
      <selection pane="bottomLeft" activeCell="A6" sqref="A6"/>
      <selection pane="bottomRight" activeCell="K52" sqref="K52"/>
    </sheetView>
  </sheetViews>
  <sheetFormatPr defaultColWidth="8.6640625" defaultRowHeight="14.4" x14ac:dyDescent="0.3"/>
  <cols>
    <col min="1" max="1" width="2" customWidth="1"/>
    <col min="2" max="2" width="8" customWidth="1"/>
    <col min="3" max="3" width="42" customWidth="1"/>
    <col min="4" max="4" width="10" customWidth="1"/>
    <col min="5" max="19" width="15" customWidth="1"/>
    <col min="20" max="20" width="2" customWidth="1"/>
  </cols>
  <sheetData>
    <row r="1" spans="2:19" ht="4.5" customHeight="1" x14ac:dyDescent="0.3"/>
    <row r="2" spans="2:19" ht="31.5" customHeight="1" x14ac:dyDescent="0.3">
      <c r="B2" s="83" t="s">
        <v>171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</row>
    <row r="3" spans="2:19" ht="13.5" customHeight="1" x14ac:dyDescent="0.3">
      <c r="B3" s="86" t="s">
        <v>172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</row>
    <row r="4" spans="2:19" ht="6" customHeight="1" x14ac:dyDescent="0.3"/>
    <row r="5" spans="2:19" ht="27.6" customHeight="1" x14ac:dyDescent="0.3">
      <c r="B5" s="18" t="s">
        <v>5</v>
      </c>
      <c r="C5" s="18" t="s">
        <v>173</v>
      </c>
      <c r="D5" s="18" t="s">
        <v>7</v>
      </c>
      <c r="E5" s="1">
        <f>'2. İştirakçı Məlumatları'!C6</f>
        <v>0</v>
      </c>
      <c r="F5" s="1">
        <f>'2. İştirakçı Məlumatları'!D6</f>
        <v>0</v>
      </c>
      <c r="G5" s="1">
        <f>'2. İştirakçı Məlumatları'!E6</f>
        <v>0</v>
      </c>
      <c r="H5" s="1">
        <f>'2. İştirakçı Məlumatları'!F6</f>
        <v>0</v>
      </c>
      <c r="I5" s="1">
        <f>'2. İştirakçı Məlumatları'!G6</f>
        <v>0</v>
      </c>
      <c r="J5" s="1">
        <f>'2. İştirakçı Məlumatları'!H6</f>
        <v>0</v>
      </c>
      <c r="K5" s="1">
        <f>'2. İştirakçı Məlumatları'!I6</f>
        <v>0</v>
      </c>
      <c r="L5" s="1">
        <f>'2. İştirakçı Məlumatları'!J6</f>
        <v>0</v>
      </c>
      <c r="M5" s="1">
        <f>'2. İştirakçı Məlumatları'!K6</f>
        <v>0</v>
      </c>
      <c r="N5" s="1">
        <f>'2. İştirakçı Məlumatları'!L6</f>
        <v>0</v>
      </c>
      <c r="O5" s="1">
        <f>'2. İştirakçı Məlumatları'!M6</f>
        <v>0</v>
      </c>
      <c r="P5" s="1">
        <f>'2. İştirakçı Məlumatları'!N6</f>
        <v>0</v>
      </c>
      <c r="Q5" s="1">
        <f>'2. İştirakçı Məlumatları'!O6</f>
        <v>0</v>
      </c>
      <c r="R5" s="1">
        <f>'2. İştirakçı Məlumatları'!P6</f>
        <v>0</v>
      </c>
      <c r="S5" s="1">
        <f>'2. İştirakçı Məlumatları'!Q6</f>
        <v>0</v>
      </c>
    </row>
    <row r="6" spans="2:19" ht="19.5" customHeight="1" x14ac:dyDescent="0.3">
      <c r="B6" s="85" t="s">
        <v>174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</row>
    <row r="7" spans="2:19" ht="15.75" customHeight="1" x14ac:dyDescent="0.3">
      <c r="B7" s="7" t="s">
        <v>13</v>
      </c>
      <c r="C7" s="8" t="s">
        <v>138</v>
      </c>
      <c r="D7" s="9">
        <v>5</v>
      </c>
      <c r="E7" s="32">
        <f>ROUND('3. Cavablar (Xam Göstəricilər)'!E7/3*5,1)</f>
        <v>0</v>
      </c>
      <c r="F7" s="32">
        <f>ROUND('3. Cavablar (Xam Göstəricilər)'!F7/3*5,1)</f>
        <v>0</v>
      </c>
      <c r="G7" s="32">
        <f>ROUND('3. Cavablar (Xam Göstəricilər)'!G7/3*5,1)</f>
        <v>0</v>
      </c>
      <c r="H7" s="32">
        <f>ROUND('3. Cavablar (Xam Göstəricilər)'!H7/3*5,1)</f>
        <v>0</v>
      </c>
      <c r="I7" s="32">
        <f>ROUND('3. Cavablar (Xam Göstəricilər)'!I7/3*5,1)</f>
        <v>0</v>
      </c>
      <c r="J7" s="32">
        <f>ROUND('3. Cavablar (Xam Göstəricilər)'!J7/3*5,1)</f>
        <v>0</v>
      </c>
      <c r="K7" s="32">
        <f>ROUND('3. Cavablar (Xam Göstəricilər)'!K7/3*5,1)</f>
        <v>0</v>
      </c>
      <c r="L7" s="32">
        <f>ROUND('3. Cavablar (Xam Göstəricilər)'!L7/3*5,1)</f>
        <v>0</v>
      </c>
      <c r="M7" s="32">
        <f>ROUND('3. Cavablar (Xam Göstəricilər)'!M7/3*5,1)</f>
        <v>0</v>
      </c>
      <c r="N7" s="32">
        <f>ROUND('3. Cavablar (Xam Göstəricilər)'!N7/3*5,1)</f>
        <v>0</v>
      </c>
      <c r="O7" s="32">
        <f>ROUND('3. Cavablar (Xam Göstəricilər)'!O7/3*5,1)</f>
        <v>0</v>
      </c>
      <c r="P7" s="32">
        <f>ROUND('3. Cavablar (Xam Göstəricilər)'!P7/3*5,1)</f>
        <v>0</v>
      </c>
      <c r="Q7" s="32">
        <f>ROUND('3. Cavablar (Xam Göstəricilər)'!Q7/3*5,1)</f>
        <v>0</v>
      </c>
      <c r="R7" s="32">
        <f>ROUND('3. Cavablar (Xam Göstəricilər)'!R7/3*5,1)</f>
        <v>0</v>
      </c>
      <c r="S7" s="32">
        <f>ROUND('3. Cavablar (Xam Göstəricilər)'!S7/3*5,1)</f>
        <v>0</v>
      </c>
    </row>
    <row r="8" spans="2:19" ht="15.75" customHeight="1" x14ac:dyDescent="0.3">
      <c r="B8" s="30" t="s">
        <v>16</v>
      </c>
      <c r="C8" s="12" t="s">
        <v>140</v>
      </c>
      <c r="D8" s="9">
        <v>3</v>
      </c>
      <c r="E8" s="33">
        <f>IF('3. Cavablar (Xam Göstəricilər)'!E8=0,0,IF('3. Cavablar (Xam Göstəricilər)'!E8&lt;=3,1,IF('3. Cavablar (Xam Göstəricilər)'!E8&lt;=7,2,3)))</f>
        <v>0</v>
      </c>
      <c r="F8" s="33">
        <f>IF('3. Cavablar (Xam Göstəricilər)'!F8=0,0,IF('3. Cavablar (Xam Göstəricilər)'!F8&lt;=3,1,IF('3. Cavablar (Xam Göstəricilər)'!F8&lt;=7,2,3)))</f>
        <v>0</v>
      </c>
      <c r="G8" s="33">
        <f>IF('3. Cavablar (Xam Göstəricilər)'!G8=0,0,IF('3. Cavablar (Xam Göstəricilər)'!G8&lt;=3,1,IF('3. Cavablar (Xam Göstəricilər)'!G8&lt;=7,2,3)))</f>
        <v>0</v>
      </c>
      <c r="H8" s="33">
        <f>IF('3. Cavablar (Xam Göstəricilər)'!H8=0,0,IF('3. Cavablar (Xam Göstəricilər)'!H8&lt;=3,1,IF('3. Cavablar (Xam Göstəricilər)'!H8&lt;=7,2,3)))</f>
        <v>0</v>
      </c>
      <c r="I8" s="33">
        <f>IF('3. Cavablar (Xam Göstəricilər)'!I8=0,0,IF('3. Cavablar (Xam Göstəricilər)'!I8&lt;=3,1,IF('3. Cavablar (Xam Göstəricilər)'!I8&lt;=7,2,3)))</f>
        <v>0</v>
      </c>
      <c r="J8" s="33">
        <f>IF('3. Cavablar (Xam Göstəricilər)'!J8=0,0,IF('3. Cavablar (Xam Göstəricilər)'!J8&lt;=3,1,IF('3. Cavablar (Xam Göstəricilər)'!J8&lt;=7,2,3)))</f>
        <v>0</v>
      </c>
      <c r="K8" s="33">
        <f>IF('3. Cavablar (Xam Göstəricilər)'!K8=0,0,IF('3. Cavablar (Xam Göstəricilər)'!K8&lt;=3,1,IF('3. Cavablar (Xam Göstəricilər)'!K8&lt;=7,2,3)))</f>
        <v>0</v>
      </c>
      <c r="L8" s="33">
        <f>IF('3. Cavablar (Xam Göstəricilər)'!L8=0,0,IF('3. Cavablar (Xam Göstəricilər)'!L8&lt;=3,1,IF('3. Cavablar (Xam Göstəricilər)'!L8&lt;=7,2,3)))</f>
        <v>0</v>
      </c>
      <c r="M8" s="33">
        <f>IF('3. Cavablar (Xam Göstəricilər)'!M8=0,0,IF('3. Cavablar (Xam Göstəricilər)'!M8&lt;=3,1,IF('3. Cavablar (Xam Göstəricilər)'!M8&lt;=7,2,3)))</f>
        <v>0</v>
      </c>
      <c r="N8" s="33">
        <f>IF('3. Cavablar (Xam Göstəricilər)'!N8=0,0,IF('3. Cavablar (Xam Göstəricilər)'!N8&lt;=3,1,IF('3. Cavablar (Xam Göstəricilər)'!N8&lt;=7,2,3)))</f>
        <v>0</v>
      </c>
      <c r="O8" s="33">
        <f>IF('3. Cavablar (Xam Göstəricilər)'!O8=0,0,IF('3. Cavablar (Xam Göstəricilər)'!O8&lt;=3,1,IF('3. Cavablar (Xam Göstəricilər)'!O8&lt;=7,2,3)))</f>
        <v>0</v>
      </c>
      <c r="P8" s="33">
        <f>IF('3. Cavablar (Xam Göstəricilər)'!P8=0,0,IF('3. Cavablar (Xam Göstəricilər)'!P8&lt;=3,1,IF('3. Cavablar (Xam Göstəricilər)'!P8&lt;=7,2,3)))</f>
        <v>0</v>
      </c>
      <c r="Q8" s="33">
        <f>IF('3. Cavablar (Xam Göstəricilər)'!Q8=0,0,IF('3. Cavablar (Xam Göstəricilər)'!Q8&lt;=3,1,IF('3. Cavablar (Xam Göstəricilər)'!Q8&lt;=7,2,3)))</f>
        <v>0</v>
      </c>
      <c r="R8" s="33">
        <f>IF('3. Cavablar (Xam Göstəricilər)'!R8=0,0,IF('3. Cavablar (Xam Göstəricilər)'!R8&lt;=3,1,IF('3. Cavablar (Xam Göstəricilər)'!R8&lt;=7,2,3)))</f>
        <v>0</v>
      </c>
      <c r="S8" s="33">
        <f>IF('3. Cavablar (Xam Göstəricilər)'!S8=0,0,IF('3. Cavablar (Xam Göstəricilər)'!S8&lt;=3,1,IF('3. Cavablar (Xam Göstəricilər)'!S8&lt;=7,2,3)))</f>
        <v>0</v>
      </c>
    </row>
    <row r="9" spans="2:19" ht="15.75" customHeight="1" x14ac:dyDescent="0.3">
      <c r="B9" s="7" t="s">
        <v>18</v>
      </c>
      <c r="C9" s="8" t="s">
        <v>142</v>
      </c>
      <c r="D9" s="9">
        <v>2</v>
      </c>
      <c r="E9" s="32">
        <f>ROUND('3. Cavablar (Xam Göstəricilər)'!E9/3*2,1)</f>
        <v>0</v>
      </c>
      <c r="F9" s="32">
        <f>ROUND('3. Cavablar (Xam Göstəricilər)'!F9/3*2,1)</f>
        <v>0</v>
      </c>
      <c r="G9" s="32">
        <f>ROUND('3. Cavablar (Xam Göstəricilər)'!G9/3*2,1)</f>
        <v>0</v>
      </c>
      <c r="H9" s="32">
        <f>ROUND('3. Cavablar (Xam Göstəricilər)'!H9/3*2,1)</f>
        <v>0</v>
      </c>
      <c r="I9" s="32">
        <f>ROUND('3. Cavablar (Xam Göstəricilər)'!I9/3*2,1)</f>
        <v>0</v>
      </c>
      <c r="J9" s="32">
        <f>ROUND('3. Cavablar (Xam Göstəricilər)'!J9/3*2,1)</f>
        <v>0</v>
      </c>
      <c r="K9" s="32">
        <f>ROUND('3. Cavablar (Xam Göstəricilər)'!K9/3*2,1)</f>
        <v>0</v>
      </c>
      <c r="L9" s="32">
        <f>ROUND('3. Cavablar (Xam Göstəricilər)'!L9/3*2,1)</f>
        <v>0</v>
      </c>
      <c r="M9" s="32">
        <f>ROUND('3. Cavablar (Xam Göstəricilər)'!M9/3*2,1)</f>
        <v>0</v>
      </c>
      <c r="N9" s="32">
        <f>ROUND('3. Cavablar (Xam Göstəricilər)'!N9/3*2,1)</f>
        <v>0</v>
      </c>
      <c r="O9" s="32">
        <f>ROUND('3. Cavablar (Xam Göstəricilər)'!O9/3*2,1)</f>
        <v>0</v>
      </c>
      <c r="P9" s="32">
        <f>ROUND('3. Cavablar (Xam Göstəricilər)'!P9/3*2,1)</f>
        <v>0</v>
      </c>
      <c r="Q9" s="32">
        <f>ROUND('3. Cavablar (Xam Göstəricilər)'!Q9/3*2,1)</f>
        <v>0</v>
      </c>
      <c r="R9" s="32">
        <f>ROUND('3. Cavablar (Xam Göstəricilər)'!R9/3*2,1)</f>
        <v>0</v>
      </c>
      <c r="S9" s="32">
        <f>ROUND('3. Cavablar (Xam Göstəricilər)'!S9/3*2,1)</f>
        <v>0</v>
      </c>
    </row>
    <row r="10" spans="2:19" ht="15.75" customHeight="1" x14ac:dyDescent="0.3">
      <c r="B10" s="30" t="s">
        <v>20</v>
      </c>
      <c r="C10" s="12" t="s">
        <v>143</v>
      </c>
      <c r="D10" s="9">
        <v>5</v>
      </c>
      <c r="E10" s="33">
        <f>ROUND('3. Cavablar (Xam Göstəricilər)'!E10/3*5,1)</f>
        <v>0</v>
      </c>
      <c r="F10" s="33">
        <f>ROUND('3. Cavablar (Xam Göstəricilər)'!F10/3*5,1)</f>
        <v>0</v>
      </c>
      <c r="G10" s="33">
        <f>ROUND('3. Cavablar (Xam Göstəricilər)'!G10/3*5,1)</f>
        <v>0</v>
      </c>
      <c r="H10" s="33">
        <f>ROUND('3. Cavablar (Xam Göstəricilər)'!H10/3*5,1)</f>
        <v>0</v>
      </c>
      <c r="I10" s="33">
        <f>ROUND('3. Cavablar (Xam Göstəricilər)'!I10/3*5,1)</f>
        <v>0</v>
      </c>
      <c r="J10" s="33">
        <f>ROUND('3. Cavablar (Xam Göstəricilər)'!J10/3*5,1)</f>
        <v>0</v>
      </c>
      <c r="K10" s="33">
        <f>ROUND('3. Cavablar (Xam Göstəricilər)'!K10/3*5,1)</f>
        <v>0</v>
      </c>
      <c r="L10" s="33">
        <f>ROUND('3. Cavablar (Xam Göstəricilər)'!L10/3*5,1)</f>
        <v>0</v>
      </c>
      <c r="M10" s="33">
        <f>ROUND('3. Cavablar (Xam Göstəricilər)'!M10/3*5,1)</f>
        <v>0</v>
      </c>
      <c r="N10" s="33">
        <f>ROUND('3. Cavablar (Xam Göstəricilər)'!N10/3*5,1)</f>
        <v>0</v>
      </c>
      <c r="O10" s="33">
        <f>ROUND('3. Cavablar (Xam Göstəricilər)'!O10/3*5,1)</f>
        <v>0</v>
      </c>
      <c r="P10" s="33">
        <f>ROUND('3. Cavablar (Xam Göstəricilər)'!P10/3*5,1)</f>
        <v>0</v>
      </c>
      <c r="Q10" s="33">
        <f>ROUND('3. Cavablar (Xam Göstəricilər)'!Q10/3*5,1)</f>
        <v>0</v>
      </c>
      <c r="R10" s="33">
        <f>ROUND('3. Cavablar (Xam Göstəricilər)'!R10/3*5,1)</f>
        <v>0</v>
      </c>
      <c r="S10" s="33">
        <f>ROUND('3. Cavablar (Xam Göstəricilər)'!S10/3*5,1)</f>
        <v>0</v>
      </c>
    </row>
    <row r="11" spans="2:19" ht="19.5" customHeight="1" x14ac:dyDescent="0.3">
      <c r="B11" s="85" t="s">
        <v>175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</row>
    <row r="12" spans="2:19" ht="15.75" customHeight="1" x14ac:dyDescent="0.3">
      <c r="B12" s="30" t="s">
        <v>25</v>
      </c>
      <c r="C12" s="12" t="s">
        <v>145</v>
      </c>
      <c r="D12" s="9">
        <v>8</v>
      </c>
      <c r="E12" s="33">
        <f>IF('3. Cavablar (Xam Göstəricilər)'!E12&lt;500000,0,IF('3. Cavablar (Xam Göstəricilər)'!E12&lt;1000000,ROUND(8*0.25,1),IF('3. Cavablar (Xam Göstəricilər)'!E12&lt;5000000,ROUND(8*0.5,1),IF('3. Cavablar (Xam Göstəricilər)'!E12&lt;10000000,ROUND(8*0.75,1),8))))</f>
        <v>0</v>
      </c>
      <c r="F12" s="33">
        <f>IF('3. Cavablar (Xam Göstəricilər)'!F12&lt;500000,0,IF('3. Cavablar (Xam Göstəricilər)'!F12&lt;1000000,ROUND(8*0.25,1),IF('3. Cavablar (Xam Göstəricilər)'!F12&lt;5000000,ROUND(8*0.5,1),IF('3. Cavablar (Xam Göstəricilər)'!F12&lt;10000000,ROUND(8*0.75,1),8))))</f>
        <v>0</v>
      </c>
      <c r="G12" s="33">
        <f>IF('3. Cavablar (Xam Göstəricilər)'!G12&lt;500000,0,IF('3. Cavablar (Xam Göstəricilər)'!G12&lt;1000000,ROUND(8*0.25,1),IF('3. Cavablar (Xam Göstəricilər)'!G12&lt;5000000,ROUND(8*0.5,1),IF('3. Cavablar (Xam Göstəricilər)'!G12&lt;10000000,ROUND(8*0.75,1),8))))</f>
        <v>0</v>
      </c>
      <c r="H12" s="33">
        <f>IF('3. Cavablar (Xam Göstəricilər)'!H12&lt;500000,0,IF('3. Cavablar (Xam Göstəricilər)'!H12&lt;1000000,ROUND(8*0.25,1),IF('3. Cavablar (Xam Göstəricilər)'!H12&lt;5000000,ROUND(8*0.5,1),IF('3. Cavablar (Xam Göstəricilər)'!H12&lt;10000000,ROUND(8*0.75,1),8))))</f>
        <v>0</v>
      </c>
      <c r="I12" s="33">
        <f>IF('3. Cavablar (Xam Göstəricilər)'!I12&lt;500000,0,IF('3. Cavablar (Xam Göstəricilər)'!I12&lt;1000000,ROUND(8*0.25,1),IF('3. Cavablar (Xam Göstəricilər)'!I12&lt;5000000,ROUND(8*0.5,1),IF('3. Cavablar (Xam Göstəricilər)'!I12&lt;10000000,ROUND(8*0.75,1),8))))</f>
        <v>0</v>
      </c>
      <c r="J12" s="33">
        <f>IF('3. Cavablar (Xam Göstəricilər)'!J12&lt;500000,0,IF('3. Cavablar (Xam Göstəricilər)'!J12&lt;1000000,ROUND(8*0.25,1),IF('3. Cavablar (Xam Göstəricilər)'!J12&lt;5000000,ROUND(8*0.5,1),IF('3. Cavablar (Xam Göstəricilər)'!J12&lt;10000000,ROUND(8*0.75,1),8))))</f>
        <v>0</v>
      </c>
      <c r="K12" s="33">
        <f>IF('3. Cavablar (Xam Göstəricilər)'!K12&lt;500000,0,IF('3. Cavablar (Xam Göstəricilər)'!K12&lt;1000000,ROUND(8*0.25,1),IF('3. Cavablar (Xam Göstəricilər)'!K12&lt;5000000,ROUND(8*0.5,1),IF('3. Cavablar (Xam Göstəricilər)'!K12&lt;10000000,ROUND(8*0.75,1),8))))</f>
        <v>0</v>
      </c>
      <c r="L12" s="33">
        <f>IF('3. Cavablar (Xam Göstəricilər)'!L12&lt;500000,0,IF('3. Cavablar (Xam Göstəricilər)'!L12&lt;1000000,ROUND(8*0.25,1),IF('3. Cavablar (Xam Göstəricilər)'!L12&lt;5000000,ROUND(8*0.5,1),IF('3. Cavablar (Xam Göstəricilər)'!L12&lt;10000000,ROUND(8*0.75,1),8))))</f>
        <v>0</v>
      </c>
      <c r="M12" s="33">
        <f>IF('3. Cavablar (Xam Göstəricilər)'!M12&lt;500000,0,IF('3. Cavablar (Xam Göstəricilər)'!M12&lt;1000000,ROUND(8*0.25,1),IF('3. Cavablar (Xam Göstəricilər)'!M12&lt;5000000,ROUND(8*0.5,1),IF('3. Cavablar (Xam Göstəricilər)'!M12&lt;10000000,ROUND(8*0.75,1),8))))</f>
        <v>0</v>
      </c>
      <c r="N12" s="33">
        <f>IF('3. Cavablar (Xam Göstəricilər)'!N12&lt;500000,0,IF('3. Cavablar (Xam Göstəricilər)'!N12&lt;1000000,ROUND(8*0.25,1),IF('3. Cavablar (Xam Göstəricilər)'!N12&lt;5000000,ROUND(8*0.5,1),IF('3. Cavablar (Xam Göstəricilər)'!N12&lt;10000000,ROUND(8*0.75,1),8))))</f>
        <v>0</v>
      </c>
      <c r="O12" s="33">
        <f>IF('3. Cavablar (Xam Göstəricilər)'!O12&lt;500000,0,IF('3. Cavablar (Xam Göstəricilər)'!O12&lt;1000000,ROUND(8*0.25,1),IF('3. Cavablar (Xam Göstəricilər)'!O12&lt;5000000,ROUND(8*0.5,1),IF('3. Cavablar (Xam Göstəricilər)'!O12&lt;10000000,ROUND(8*0.75,1),8))))</f>
        <v>0</v>
      </c>
      <c r="P12" s="33">
        <f>IF('3. Cavablar (Xam Göstəricilər)'!P12&lt;500000,0,IF('3. Cavablar (Xam Göstəricilər)'!P12&lt;1000000,ROUND(8*0.25,1),IF('3. Cavablar (Xam Göstəricilər)'!P12&lt;5000000,ROUND(8*0.5,1),IF('3. Cavablar (Xam Göstəricilər)'!P12&lt;10000000,ROUND(8*0.75,1),8))))</f>
        <v>0</v>
      </c>
      <c r="Q12" s="33">
        <f>IF('3. Cavablar (Xam Göstəricilər)'!Q12&lt;500000,0,IF('3. Cavablar (Xam Göstəricilər)'!Q12&lt;1000000,ROUND(8*0.25,1),IF('3. Cavablar (Xam Göstəricilər)'!Q12&lt;5000000,ROUND(8*0.5,1),IF('3. Cavablar (Xam Göstəricilər)'!Q12&lt;10000000,ROUND(8*0.75,1),8))))</f>
        <v>0</v>
      </c>
      <c r="R12" s="33">
        <f>IF('3. Cavablar (Xam Göstəricilər)'!R12&lt;500000,0,IF('3. Cavablar (Xam Göstəricilər)'!R12&lt;1000000,ROUND(8*0.25,1),IF('3. Cavablar (Xam Göstəricilər)'!R12&lt;5000000,ROUND(8*0.5,1),IF('3. Cavablar (Xam Göstəricilər)'!R12&lt;10000000,ROUND(8*0.75,1),8))))</f>
        <v>0</v>
      </c>
      <c r="S12" s="33">
        <f>IF('3. Cavablar (Xam Göstəricilər)'!S12&lt;500000,0,IF('3. Cavablar (Xam Göstəricilər)'!S12&lt;1000000,ROUND(8*0.25,1),IF('3. Cavablar (Xam Göstəricilər)'!S12&lt;5000000,ROUND(8*0.5,1),IF('3. Cavablar (Xam Göstəricilər)'!S12&lt;10000000,ROUND(8*0.75,1),8))))</f>
        <v>0</v>
      </c>
    </row>
    <row r="13" spans="2:19" ht="15.75" customHeight="1" x14ac:dyDescent="0.3">
      <c r="B13" s="7" t="s">
        <v>27</v>
      </c>
      <c r="C13" s="8" t="s">
        <v>146</v>
      </c>
      <c r="D13" s="9">
        <v>5</v>
      </c>
      <c r="E13" s="32">
        <f>IF('3. Cavablar (Xam Göstəricilər)'!E13&lt;500000,0,IF('3. Cavablar (Xam Göstəricilər)'!E13&lt;1000000,ROUND(5*0.3,1),IF('3. Cavablar (Xam Göstəricilər)'!E13&lt;2500000,ROUND(5*0.6,1),5)))</f>
        <v>0</v>
      </c>
      <c r="F13" s="32">
        <f>IF('3. Cavablar (Xam Göstəricilər)'!F13&lt;500000,0,IF('3. Cavablar (Xam Göstəricilər)'!F13&lt;1000000,ROUND(5*0.3,1),IF('3. Cavablar (Xam Göstəricilər)'!F13&lt;2500000,ROUND(5*0.6,1),5)))</f>
        <v>0</v>
      </c>
      <c r="G13" s="32">
        <f>IF('3. Cavablar (Xam Göstəricilər)'!G13&lt;500000,0,IF('3. Cavablar (Xam Göstəricilər)'!G13&lt;1000000,ROUND(5*0.3,1),IF('3. Cavablar (Xam Göstəricilər)'!G13&lt;2500000,ROUND(5*0.6,1),5)))</f>
        <v>0</v>
      </c>
      <c r="H13" s="32">
        <f>IF('3. Cavablar (Xam Göstəricilər)'!H13&lt;500000,0,IF('3. Cavablar (Xam Göstəricilər)'!H13&lt;1000000,ROUND(5*0.3,1),IF('3. Cavablar (Xam Göstəricilər)'!H13&lt;2500000,ROUND(5*0.6,1),5)))</f>
        <v>0</v>
      </c>
      <c r="I13" s="32">
        <f>IF('3. Cavablar (Xam Göstəricilər)'!I13&lt;500000,0,IF('3. Cavablar (Xam Göstəricilər)'!I13&lt;1000000,ROUND(5*0.3,1),IF('3. Cavablar (Xam Göstəricilər)'!I13&lt;2500000,ROUND(5*0.6,1),5)))</f>
        <v>0</v>
      </c>
      <c r="J13" s="32">
        <f>IF('3. Cavablar (Xam Göstəricilər)'!J13&lt;500000,0,IF('3. Cavablar (Xam Göstəricilər)'!J13&lt;1000000,ROUND(5*0.3,1),IF('3. Cavablar (Xam Göstəricilər)'!J13&lt;2500000,ROUND(5*0.6,1),5)))</f>
        <v>0</v>
      </c>
      <c r="K13" s="32">
        <f>IF('3. Cavablar (Xam Göstəricilər)'!K13&lt;500000,0,IF('3. Cavablar (Xam Göstəricilər)'!K13&lt;1000000,ROUND(5*0.3,1),IF('3. Cavablar (Xam Göstəricilər)'!K13&lt;2500000,ROUND(5*0.6,1),5)))</f>
        <v>0</v>
      </c>
      <c r="L13" s="32">
        <f>IF('3. Cavablar (Xam Göstəricilər)'!L13&lt;500000,0,IF('3. Cavablar (Xam Göstəricilər)'!L13&lt;1000000,ROUND(5*0.3,1),IF('3. Cavablar (Xam Göstəricilər)'!L13&lt;2500000,ROUND(5*0.6,1),5)))</f>
        <v>0</v>
      </c>
      <c r="M13" s="32">
        <f>IF('3. Cavablar (Xam Göstəricilər)'!M13&lt;500000,0,IF('3. Cavablar (Xam Göstəricilər)'!M13&lt;1000000,ROUND(5*0.3,1),IF('3. Cavablar (Xam Göstəricilər)'!M13&lt;2500000,ROUND(5*0.6,1),5)))</f>
        <v>0</v>
      </c>
      <c r="N13" s="32">
        <f>IF('3. Cavablar (Xam Göstəricilər)'!N13&lt;500000,0,IF('3. Cavablar (Xam Göstəricilər)'!N13&lt;1000000,ROUND(5*0.3,1),IF('3. Cavablar (Xam Göstəricilər)'!N13&lt;2500000,ROUND(5*0.6,1),5)))</f>
        <v>0</v>
      </c>
      <c r="O13" s="32">
        <f>IF('3. Cavablar (Xam Göstəricilər)'!O13&lt;500000,0,IF('3. Cavablar (Xam Göstəricilər)'!O13&lt;1000000,ROUND(5*0.3,1),IF('3. Cavablar (Xam Göstəricilər)'!O13&lt;2500000,ROUND(5*0.6,1),5)))</f>
        <v>0</v>
      </c>
      <c r="P13" s="32">
        <f>IF('3. Cavablar (Xam Göstəricilər)'!P13&lt;500000,0,IF('3. Cavablar (Xam Göstəricilər)'!P13&lt;1000000,ROUND(5*0.3,1),IF('3. Cavablar (Xam Göstəricilər)'!P13&lt;2500000,ROUND(5*0.6,1),5)))</f>
        <v>0</v>
      </c>
      <c r="Q13" s="32">
        <f>IF('3. Cavablar (Xam Göstəricilər)'!Q13&lt;500000,0,IF('3. Cavablar (Xam Göstəricilər)'!Q13&lt;1000000,ROUND(5*0.3,1),IF('3. Cavablar (Xam Göstəricilər)'!Q13&lt;2500000,ROUND(5*0.6,1),5)))</f>
        <v>0</v>
      </c>
      <c r="R13" s="32">
        <f>IF('3. Cavablar (Xam Göstəricilər)'!R13&lt;500000,0,IF('3. Cavablar (Xam Göstəricilər)'!R13&lt;1000000,ROUND(5*0.3,1),IF('3. Cavablar (Xam Göstəricilər)'!R13&lt;2500000,ROUND(5*0.6,1),5)))</f>
        <v>0</v>
      </c>
      <c r="S13" s="32">
        <f>IF('3. Cavablar (Xam Göstəricilər)'!S13&lt;500000,0,IF('3. Cavablar (Xam Göstəricilər)'!S13&lt;1000000,ROUND(5*0.3,1),IF('3. Cavablar (Xam Göstəricilər)'!S13&lt;2500000,ROUND(5*0.6,1),5)))</f>
        <v>0</v>
      </c>
    </row>
    <row r="14" spans="2:19" ht="15.75" customHeight="1" x14ac:dyDescent="0.3">
      <c r="B14" s="30" t="s">
        <v>29</v>
      </c>
      <c r="C14" s="12" t="s">
        <v>147</v>
      </c>
      <c r="D14" s="9">
        <v>3</v>
      </c>
      <c r="E14" s="33">
        <f>ROUND('3. Cavablar (Xam Göstəricilər)'!E14/3*3,1)</f>
        <v>0</v>
      </c>
      <c r="F14" s="33">
        <f>ROUND('3. Cavablar (Xam Göstəricilər)'!F14/3*3,1)</f>
        <v>0</v>
      </c>
      <c r="G14" s="33">
        <f>ROUND('3. Cavablar (Xam Göstəricilər)'!G14/3*3,1)</f>
        <v>0</v>
      </c>
      <c r="H14" s="33">
        <f>ROUND('3. Cavablar (Xam Göstəricilər)'!H14/3*3,1)</f>
        <v>0</v>
      </c>
      <c r="I14" s="33">
        <f>ROUND('3. Cavablar (Xam Göstəricilər)'!I14/3*3,1)</f>
        <v>0</v>
      </c>
      <c r="J14" s="33">
        <f>ROUND('3. Cavablar (Xam Göstəricilər)'!J14/3*3,1)</f>
        <v>0</v>
      </c>
      <c r="K14" s="33">
        <f>ROUND('3. Cavablar (Xam Göstəricilər)'!K14/3*3,1)</f>
        <v>0</v>
      </c>
      <c r="L14" s="33">
        <f>ROUND('3. Cavablar (Xam Göstəricilər)'!L14/3*3,1)</f>
        <v>0</v>
      </c>
      <c r="M14" s="33">
        <f>ROUND('3. Cavablar (Xam Göstəricilər)'!M14/3*3,1)</f>
        <v>0</v>
      </c>
      <c r="N14" s="33">
        <f>ROUND('3. Cavablar (Xam Göstəricilər)'!N14/3*3,1)</f>
        <v>0</v>
      </c>
      <c r="O14" s="33">
        <f>ROUND('3. Cavablar (Xam Göstəricilər)'!O14/3*3,1)</f>
        <v>0</v>
      </c>
      <c r="P14" s="33">
        <f>ROUND('3. Cavablar (Xam Göstəricilər)'!P14/3*3,1)</f>
        <v>0</v>
      </c>
      <c r="Q14" s="33">
        <f>ROUND('3. Cavablar (Xam Göstəricilər)'!Q14/3*3,1)</f>
        <v>0</v>
      </c>
      <c r="R14" s="33">
        <f>ROUND('3. Cavablar (Xam Göstəricilər)'!R14/3*3,1)</f>
        <v>0</v>
      </c>
      <c r="S14" s="33">
        <f>ROUND('3. Cavablar (Xam Göstəricilər)'!S14/3*3,1)</f>
        <v>0</v>
      </c>
    </row>
    <row r="15" spans="2:19" ht="15.75" customHeight="1" x14ac:dyDescent="0.3">
      <c r="B15" s="7" t="s">
        <v>31</v>
      </c>
      <c r="C15" s="8" t="s">
        <v>148</v>
      </c>
      <c r="D15" s="9">
        <v>4</v>
      </c>
      <c r="E15" s="32">
        <f>ROUND('3. Cavablar (Xam Göstəricilər)'!E15/3*4,1)</f>
        <v>0</v>
      </c>
      <c r="F15" s="32">
        <f>ROUND('3. Cavablar (Xam Göstəricilər)'!F15/3*4,1)</f>
        <v>0</v>
      </c>
      <c r="G15" s="32">
        <f>ROUND('3. Cavablar (Xam Göstəricilər)'!G15/3*4,1)</f>
        <v>0</v>
      </c>
      <c r="H15" s="32">
        <f>ROUND('3. Cavablar (Xam Göstəricilər)'!H15/3*4,1)</f>
        <v>0</v>
      </c>
      <c r="I15" s="32">
        <f>ROUND('3. Cavablar (Xam Göstəricilər)'!I15/3*4,1)</f>
        <v>0</v>
      </c>
      <c r="J15" s="32">
        <f>ROUND('3. Cavablar (Xam Göstəricilər)'!J15/3*4,1)</f>
        <v>0</v>
      </c>
      <c r="K15" s="32">
        <f>ROUND('3. Cavablar (Xam Göstəricilər)'!K15/3*4,1)</f>
        <v>0</v>
      </c>
      <c r="L15" s="32">
        <f>ROUND('3. Cavablar (Xam Göstəricilər)'!L15/3*4,1)</f>
        <v>0</v>
      </c>
      <c r="M15" s="32">
        <f>ROUND('3. Cavablar (Xam Göstəricilər)'!M15/3*4,1)</f>
        <v>0</v>
      </c>
      <c r="N15" s="32">
        <f>ROUND('3. Cavablar (Xam Göstəricilər)'!N15/3*4,1)</f>
        <v>0</v>
      </c>
      <c r="O15" s="32">
        <f>ROUND('3. Cavablar (Xam Göstəricilər)'!O15/3*4,1)</f>
        <v>0</v>
      </c>
      <c r="P15" s="32">
        <f>ROUND('3. Cavablar (Xam Göstəricilər)'!P15/3*4,1)</f>
        <v>0</v>
      </c>
      <c r="Q15" s="32">
        <f>ROUND('3. Cavablar (Xam Göstəricilər)'!Q15/3*4,1)</f>
        <v>0</v>
      </c>
      <c r="R15" s="32">
        <f>ROUND('3. Cavablar (Xam Göstəricilər)'!R15/3*4,1)</f>
        <v>0</v>
      </c>
      <c r="S15" s="32">
        <f>ROUND('3. Cavablar (Xam Göstəricilər)'!S15/3*4,1)</f>
        <v>0</v>
      </c>
    </row>
    <row r="16" spans="2:19" ht="19.5" customHeight="1" x14ac:dyDescent="0.3">
      <c r="B16" s="85" t="s">
        <v>176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</row>
    <row r="17" spans="2:19" ht="15.75" customHeight="1" x14ac:dyDescent="0.3">
      <c r="B17" s="7" t="s">
        <v>36</v>
      </c>
      <c r="C17" s="8" t="s">
        <v>150</v>
      </c>
      <c r="D17" s="9">
        <v>9</v>
      </c>
      <c r="E17" s="32">
        <f>IF('3. Cavablar (Xam Göstəricilər)'!E17&lt;2,0,IF('3. Cavablar (Xam Göstəricilər)'!E17&lt;=4,ROUND(9*0.3,1),IF('3. Cavablar (Xam Göstəricilər)'!E17&lt;=9,ROUND(9*0.7,1),9)))</f>
        <v>0</v>
      </c>
      <c r="F17" s="32">
        <f>IF('3. Cavablar (Xam Göstəricilər)'!F17&lt;2,0,IF('3. Cavablar (Xam Göstəricilər)'!F17&lt;=4,ROUND(9*0.3,1),IF('3. Cavablar (Xam Göstəricilər)'!F17&lt;=9,ROUND(9*0.7,1),9)))</f>
        <v>0</v>
      </c>
      <c r="G17" s="32">
        <f>IF('3. Cavablar (Xam Göstəricilər)'!G17&lt;2,0,IF('3. Cavablar (Xam Göstəricilər)'!G17&lt;=4,ROUND(9*0.3,1),IF('3. Cavablar (Xam Göstəricilər)'!G17&lt;=9,ROUND(9*0.7,1),9)))</f>
        <v>0</v>
      </c>
      <c r="H17" s="32">
        <f>IF('3. Cavablar (Xam Göstəricilər)'!H17&lt;2,0,IF('3. Cavablar (Xam Göstəricilər)'!H17&lt;=4,ROUND(9*0.3,1),IF('3. Cavablar (Xam Göstəricilər)'!H17&lt;=9,ROUND(9*0.7,1),9)))</f>
        <v>0</v>
      </c>
      <c r="I17" s="32">
        <f>IF('3. Cavablar (Xam Göstəricilər)'!I17&lt;2,0,IF('3. Cavablar (Xam Göstəricilər)'!I17&lt;=4,ROUND(9*0.3,1),IF('3. Cavablar (Xam Göstəricilər)'!I17&lt;=9,ROUND(9*0.7,1),9)))</f>
        <v>0</v>
      </c>
      <c r="J17" s="32">
        <f>IF('3. Cavablar (Xam Göstəricilər)'!J17&lt;2,0,IF('3. Cavablar (Xam Göstəricilər)'!J17&lt;=4,ROUND(9*0.3,1),IF('3. Cavablar (Xam Göstəricilər)'!J17&lt;=9,ROUND(9*0.7,1),9)))</f>
        <v>0</v>
      </c>
      <c r="K17" s="32">
        <f>IF('3. Cavablar (Xam Göstəricilər)'!K17&lt;2,0,IF('3. Cavablar (Xam Göstəricilər)'!K17&lt;=4,ROUND(9*0.3,1),IF('3. Cavablar (Xam Göstəricilər)'!K17&lt;=9,ROUND(9*0.7,1),9)))</f>
        <v>0</v>
      </c>
      <c r="L17" s="32">
        <f>IF('3. Cavablar (Xam Göstəricilər)'!L17&lt;2,0,IF('3. Cavablar (Xam Göstəricilər)'!L17&lt;=4,ROUND(9*0.3,1),IF('3. Cavablar (Xam Göstəricilər)'!L17&lt;=9,ROUND(9*0.7,1),9)))</f>
        <v>0</v>
      </c>
      <c r="M17" s="32">
        <f>IF('3. Cavablar (Xam Göstəricilər)'!M17&lt;2,0,IF('3. Cavablar (Xam Göstəricilər)'!M17&lt;=4,ROUND(9*0.3,1),IF('3. Cavablar (Xam Göstəricilər)'!M17&lt;=9,ROUND(9*0.7,1),9)))</f>
        <v>0</v>
      </c>
      <c r="N17" s="32">
        <f>IF('3. Cavablar (Xam Göstəricilər)'!N17&lt;2,0,IF('3. Cavablar (Xam Göstəricilər)'!N17&lt;=4,ROUND(9*0.3,1),IF('3. Cavablar (Xam Göstəricilər)'!N17&lt;=9,ROUND(9*0.7,1),9)))</f>
        <v>0</v>
      </c>
      <c r="O17" s="32">
        <f>IF('3. Cavablar (Xam Göstəricilər)'!O17&lt;2,0,IF('3. Cavablar (Xam Göstəricilər)'!O17&lt;=4,ROUND(9*0.3,1),IF('3. Cavablar (Xam Göstəricilər)'!O17&lt;=9,ROUND(9*0.7,1),9)))</f>
        <v>0</v>
      </c>
      <c r="P17" s="32">
        <f>IF('3. Cavablar (Xam Göstəricilər)'!P17&lt;2,0,IF('3. Cavablar (Xam Göstəricilər)'!P17&lt;=4,ROUND(9*0.3,1),IF('3. Cavablar (Xam Göstəricilər)'!P17&lt;=9,ROUND(9*0.7,1),9)))</f>
        <v>0</v>
      </c>
      <c r="Q17" s="32">
        <f>IF('3. Cavablar (Xam Göstəricilər)'!Q17&lt;2,0,IF('3. Cavablar (Xam Göstəricilər)'!Q17&lt;=4,ROUND(9*0.3,1),IF('3. Cavablar (Xam Göstəricilər)'!Q17&lt;=9,ROUND(9*0.7,1),9)))</f>
        <v>0</v>
      </c>
      <c r="R17" s="32">
        <f>IF('3. Cavablar (Xam Göstəricilər)'!R17&lt;2,0,IF('3. Cavablar (Xam Göstəricilər)'!R17&lt;=4,ROUND(9*0.3,1),IF('3. Cavablar (Xam Göstəricilər)'!R17&lt;=9,ROUND(9*0.7,1),9)))</f>
        <v>0</v>
      </c>
      <c r="S17" s="32">
        <f>IF('3. Cavablar (Xam Göstəricilər)'!S17&lt;2,0,IF('3. Cavablar (Xam Göstəricilər)'!S17&lt;=4,ROUND(9*0.3,1),IF('3. Cavablar (Xam Göstəricilər)'!S17&lt;=9,ROUND(9*0.7,1),9)))</f>
        <v>0</v>
      </c>
    </row>
    <row r="18" spans="2:19" ht="15.75" customHeight="1" x14ac:dyDescent="0.3">
      <c r="B18" s="30" t="s">
        <v>38</v>
      </c>
      <c r="C18" s="12" t="s">
        <v>152</v>
      </c>
      <c r="D18" s="9">
        <v>7</v>
      </c>
      <c r="E18" s="33">
        <f>IF('3. Cavablar (Xam Göstəricilər)'!E18&lt;1000000,0,IF('3. Cavablar (Xam Göstəricilər)'!E18&lt;3000000,ROUND(7*0.4,1),IF('3. Cavablar (Xam Göstəricilər)'!E18&lt;7000000,ROUND(7*0.75,1),7)))</f>
        <v>0</v>
      </c>
      <c r="F18" s="33">
        <f>IF('3. Cavablar (Xam Göstəricilər)'!F18&lt;1000000,0,IF('3. Cavablar (Xam Göstəricilər)'!F18&lt;3000000,ROUND(7*0.4,1),IF('3. Cavablar (Xam Göstəricilər)'!F18&lt;7000000,ROUND(7*0.75,1),7)))</f>
        <v>0</v>
      </c>
      <c r="G18" s="33">
        <f>IF('3. Cavablar (Xam Göstəricilər)'!G18&lt;1000000,0,IF('3. Cavablar (Xam Göstəricilər)'!G18&lt;3000000,ROUND(7*0.4,1),IF('3. Cavablar (Xam Göstəricilər)'!G18&lt;7000000,ROUND(7*0.75,1),7)))</f>
        <v>0</v>
      </c>
      <c r="H18" s="33">
        <f>IF('3. Cavablar (Xam Göstəricilər)'!H18&lt;1000000,0,IF('3. Cavablar (Xam Göstəricilər)'!H18&lt;3000000,ROUND(7*0.4,1),IF('3. Cavablar (Xam Göstəricilər)'!H18&lt;7000000,ROUND(7*0.75,1),7)))</f>
        <v>0</v>
      </c>
      <c r="I18" s="33">
        <f>IF('3. Cavablar (Xam Göstəricilər)'!I18&lt;1000000,0,IF('3. Cavablar (Xam Göstəricilər)'!I18&lt;3000000,ROUND(7*0.4,1),IF('3. Cavablar (Xam Göstəricilər)'!I18&lt;7000000,ROUND(7*0.75,1),7)))</f>
        <v>0</v>
      </c>
      <c r="J18" s="33">
        <f>IF('3. Cavablar (Xam Göstəricilər)'!J18&lt;1000000,0,IF('3. Cavablar (Xam Göstəricilər)'!J18&lt;3000000,ROUND(7*0.4,1),IF('3. Cavablar (Xam Göstəricilər)'!J18&lt;7000000,ROUND(7*0.75,1),7)))</f>
        <v>0</v>
      </c>
      <c r="K18" s="33">
        <f>IF('3. Cavablar (Xam Göstəricilər)'!K18&lt;1000000,0,IF('3. Cavablar (Xam Göstəricilər)'!K18&lt;3000000,ROUND(7*0.4,1),IF('3. Cavablar (Xam Göstəricilər)'!K18&lt;7000000,ROUND(7*0.75,1),7)))</f>
        <v>0</v>
      </c>
      <c r="L18" s="33">
        <f>IF('3. Cavablar (Xam Göstəricilər)'!L18&lt;1000000,0,IF('3. Cavablar (Xam Göstəricilər)'!L18&lt;3000000,ROUND(7*0.4,1),IF('3. Cavablar (Xam Göstəricilər)'!L18&lt;7000000,ROUND(7*0.75,1),7)))</f>
        <v>0</v>
      </c>
      <c r="M18" s="33">
        <f>IF('3. Cavablar (Xam Göstəricilər)'!M18&lt;1000000,0,IF('3. Cavablar (Xam Göstəricilər)'!M18&lt;3000000,ROUND(7*0.4,1),IF('3. Cavablar (Xam Göstəricilər)'!M18&lt;7000000,ROUND(7*0.75,1),7)))</f>
        <v>0</v>
      </c>
      <c r="N18" s="33">
        <f>IF('3. Cavablar (Xam Göstəricilər)'!N18&lt;1000000,0,IF('3. Cavablar (Xam Göstəricilər)'!N18&lt;3000000,ROUND(7*0.4,1),IF('3. Cavablar (Xam Göstəricilər)'!N18&lt;7000000,ROUND(7*0.75,1),7)))</f>
        <v>0</v>
      </c>
      <c r="O18" s="33">
        <f>IF('3. Cavablar (Xam Göstəricilər)'!O18&lt;1000000,0,IF('3. Cavablar (Xam Göstəricilər)'!O18&lt;3000000,ROUND(7*0.4,1),IF('3. Cavablar (Xam Göstəricilər)'!O18&lt;7000000,ROUND(7*0.75,1),7)))</f>
        <v>0</v>
      </c>
      <c r="P18" s="33">
        <f>IF('3. Cavablar (Xam Göstəricilər)'!P18&lt;1000000,0,IF('3. Cavablar (Xam Göstəricilər)'!P18&lt;3000000,ROUND(7*0.4,1),IF('3. Cavablar (Xam Göstəricilər)'!P18&lt;7000000,ROUND(7*0.75,1),7)))</f>
        <v>0</v>
      </c>
      <c r="Q18" s="33">
        <f>IF('3. Cavablar (Xam Göstəricilər)'!Q18&lt;1000000,0,IF('3. Cavablar (Xam Göstəricilər)'!Q18&lt;3000000,ROUND(7*0.4,1),IF('3. Cavablar (Xam Göstəricilər)'!Q18&lt;7000000,ROUND(7*0.75,1),7)))</f>
        <v>0</v>
      </c>
      <c r="R18" s="33">
        <f>IF('3. Cavablar (Xam Göstəricilər)'!R18&lt;1000000,0,IF('3. Cavablar (Xam Göstəricilər)'!R18&lt;3000000,ROUND(7*0.4,1),IF('3. Cavablar (Xam Göstəricilər)'!R18&lt;7000000,ROUND(7*0.75,1),7)))</f>
        <v>0</v>
      </c>
      <c r="S18" s="33">
        <f>IF('3. Cavablar (Xam Göstəricilər)'!S18&lt;1000000,0,IF('3. Cavablar (Xam Göstəricilər)'!S18&lt;3000000,ROUND(7*0.4,1),IF('3. Cavablar (Xam Göstəricilər)'!S18&lt;7000000,ROUND(7*0.75,1),7)))</f>
        <v>0</v>
      </c>
    </row>
    <row r="19" spans="2:19" ht="15.75" customHeight="1" x14ac:dyDescent="0.3">
      <c r="B19" s="7" t="s">
        <v>40</v>
      </c>
      <c r="C19" s="8" t="s">
        <v>153</v>
      </c>
      <c r="D19" s="9">
        <v>4</v>
      </c>
      <c r="E19" s="32">
        <f>IF('3. Cavablar (Xam Göstəricilər)'!E19=0,ROUND(4*0.25,1),IF('3. Cavablar (Xam Göstəricilər)'!E19&lt;=3,ROUND(4*0.5,1),IF('3. Cavablar (Xam Göstəricilər)'!E19&lt;=6,4,ROUND(4*0.75,1))))</f>
        <v>1</v>
      </c>
      <c r="F19" s="32">
        <f>IF('3. Cavablar (Xam Göstəricilər)'!F19=0,ROUND(4*0.25,1),IF('3. Cavablar (Xam Göstəricilər)'!F19&lt;=3,ROUND(4*0.5,1),IF('3. Cavablar (Xam Göstəricilər)'!F19&lt;=6,4,ROUND(4*0.75,1))))</f>
        <v>1</v>
      </c>
      <c r="G19" s="32">
        <f>IF('3. Cavablar (Xam Göstəricilər)'!G19=0,ROUND(4*0.25,1),IF('3. Cavablar (Xam Göstəricilər)'!G19&lt;=3,ROUND(4*0.5,1),IF('3. Cavablar (Xam Göstəricilər)'!G19&lt;=6,4,ROUND(4*0.75,1))))</f>
        <v>1</v>
      </c>
      <c r="H19" s="32">
        <f>IF('3. Cavablar (Xam Göstəricilər)'!H19=0,ROUND(4*0.25,1),IF('3. Cavablar (Xam Göstəricilər)'!H19&lt;=3,ROUND(4*0.5,1),IF('3. Cavablar (Xam Göstəricilər)'!H19&lt;=6,4,ROUND(4*0.75,1))))</f>
        <v>1</v>
      </c>
      <c r="I19" s="32">
        <f>IF('3. Cavablar (Xam Göstəricilər)'!I19=0,ROUND(4*0.25,1),IF('3. Cavablar (Xam Göstəricilər)'!I19&lt;=3,ROUND(4*0.5,1),IF('3. Cavablar (Xam Göstəricilər)'!I19&lt;=6,4,ROUND(4*0.75,1))))</f>
        <v>1</v>
      </c>
      <c r="J19" s="32">
        <f>IF('3. Cavablar (Xam Göstəricilər)'!J19=0,ROUND(4*0.25,1),IF('3. Cavablar (Xam Göstəricilər)'!J19&lt;=3,ROUND(4*0.5,1),IF('3. Cavablar (Xam Göstəricilər)'!J19&lt;=6,4,ROUND(4*0.75,1))))</f>
        <v>1</v>
      </c>
      <c r="K19" s="32">
        <f>IF('3. Cavablar (Xam Göstəricilər)'!K19=0,ROUND(4*0.25,1),IF('3. Cavablar (Xam Göstəricilər)'!K19&lt;=3,ROUND(4*0.5,1),IF('3. Cavablar (Xam Göstəricilər)'!K19&lt;=6,4,ROUND(4*0.75,1))))</f>
        <v>1</v>
      </c>
      <c r="L19" s="32">
        <f>IF('3. Cavablar (Xam Göstəricilər)'!L19=0,ROUND(4*0.25,1),IF('3. Cavablar (Xam Göstəricilər)'!L19&lt;=3,ROUND(4*0.5,1),IF('3. Cavablar (Xam Göstəricilər)'!L19&lt;=6,4,ROUND(4*0.75,1))))</f>
        <v>1</v>
      </c>
      <c r="M19" s="32">
        <f>IF('3. Cavablar (Xam Göstəricilər)'!M19=0,ROUND(4*0.25,1),IF('3. Cavablar (Xam Göstəricilər)'!M19&lt;=3,ROUND(4*0.5,1),IF('3. Cavablar (Xam Göstəricilər)'!M19&lt;=6,4,ROUND(4*0.75,1))))</f>
        <v>1</v>
      </c>
      <c r="N19" s="32">
        <f>IF('3. Cavablar (Xam Göstəricilər)'!N19=0,ROUND(4*0.25,1),IF('3. Cavablar (Xam Göstəricilər)'!N19&lt;=3,ROUND(4*0.5,1),IF('3. Cavablar (Xam Göstəricilər)'!N19&lt;=6,4,ROUND(4*0.75,1))))</f>
        <v>1</v>
      </c>
      <c r="O19" s="32">
        <f>IF('3. Cavablar (Xam Göstəricilər)'!O19=0,ROUND(4*0.25,1),IF('3. Cavablar (Xam Göstəricilər)'!O19&lt;=3,ROUND(4*0.5,1),IF('3. Cavablar (Xam Göstəricilər)'!O19&lt;=6,4,ROUND(4*0.75,1))))</f>
        <v>1</v>
      </c>
      <c r="P19" s="32">
        <f>IF('3. Cavablar (Xam Göstəricilər)'!P19=0,ROUND(4*0.25,1),IF('3. Cavablar (Xam Göstəricilər)'!P19&lt;=3,ROUND(4*0.5,1),IF('3. Cavablar (Xam Göstəricilər)'!P19&lt;=6,4,ROUND(4*0.75,1))))</f>
        <v>1</v>
      </c>
      <c r="Q19" s="32">
        <f>IF('3. Cavablar (Xam Göstəricilər)'!Q19=0,ROUND(4*0.25,1),IF('3. Cavablar (Xam Göstəricilər)'!Q19&lt;=3,ROUND(4*0.5,1),IF('3. Cavablar (Xam Göstəricilər)'!Q19&lt;=6,4,ROUND(4*0.75,1))))</f>
        <v>1</v>
      </c>
      <c r="R19" s="32">
        <f>IF('3. Cavablar (Xam Göstəricilər)'!R19=0,ROUND(4*0.25,1),IF('3. Cavablar (Xam Göstəricilər)'!R19&lt;=3,ROUND(4*0.5,1),IF('3. Cavablar (Xam Göstəricilər)'!R19&lt;=6,4,ROUND(4*0.75,1))))</f>
        <v>1</v>
      </c>
      <c r="S19" s="32">
        <f>IF('3. Cavablar (Xam Göstəricilər)'!S19=0,ROUND(4*0.25,1),IF('3. Cavablar (Xam Göstəricilər)'!S19&lt;=3,ROUND(4*0.5,1),IF('3. Cavablar (Xam Göstəricilər)'!S19&lt;=6,4,ROUND(4*0.75,1))))</f>
        <v>1</v>
      </c>
    </row>
    <row r="20" spans="2:19" ht="15.75" customHeight="1" x14ac:dyDescent="0.3">
      <c r="B20" s="30" t="s">
        <v>42</v>
      </c>
      <c r="C20" s="12" t="s">
        <v>154</v>
      </c>
      <c r="D20" s="9">
        <v>5</v>
      </c>
      <c r="E20" s="33">
        <f>ROUND('3. Cavablar (Xam Göstəricilər)'!E20/3*5,1)</f>
        <v>0</v>
      </c>
      <c r="F20" s="33">
        <f>ROUND('3. Cavablar (Xam Göstəricilər)'!F20/3*5,1)</f>
        <v>0</v>
      </c>
      <c r="G20" s="33">
        <f>ROUND('3. Cavablar (Xam Göstəricilər)'!G20/3*5,1)</f>
        <v>0</v>
      </c>
      <c r="H20" s="33">
        <f>ROUND('3. Cavablar (Xam Göstəricilər)'!H20/3*5,1)</f>
        <v>0</v>
      </c>
      <c r="I20" s="33">
        <f>ROUND('3. Cavablar (Xam Göstəricilər)'!I20/3*5,1)</f>
        <v>0</v>
      </c>
      <c r="J20" s="33">
        <f>ROUND('3. Cavablar (Xam Göstəricilər)'!J20/3*5,1)</f>
        <v>0</v>
      </c>
      <c r="K20" s="33">
        <f>ROUND('3. Cavablar (Xam Göstəricilər)'!K20/3*5,1)</f>
        <v>0</v>
      </c>
      <c r="L20" s="33">
        <f>ROUND('3. Cavablar (Xam Göstəricilər)'!L20/3*5,1)</f>
        <v>0</v>
      </c>
      <c r="M20" s="33">
        <f>ROUND('3. Cavablar (Xam Göstəricilər)'!M20/3*5,1)</f>
        <v>0</v>
      </c>
      <c r="N20" s="33">
        <f>ROUND('3. Cavablar (Xam Göstəricilər)'!N20/3*5,1)</f>
        <v>0</v>
      </c>
      <c r="O20" s="33">
        <f>ROUND('3. Cavablar (Xam Göstəricilər)'!O20/3*5,1)</f>
        <v>0</v>
      </c>
      <c r="P20" s="33">
        <f>ROUND('3. Cavablar (Xam Göstəricilər)'!P20/3*5,1)</f>
        <v>0</v>
      </c>
      <c r="Q20" s="33">
        <f>ROUND('3. Cavablar (Xam Göstəricilər)'!Q20/3*5,1)</f>
        <v>0</v>
      </c>
      <c r="R20" s="33">
        <f>ROUND('3. Cavablar (Xam Göstəricilər)'!R20/3*5,1)</f>
        <v>0</v>
      </c>
      <c r="S20" s="33">
        <f>ROUND('3. Cavablar (Xam Göstəricilər)'!S20/3*5,1)</f>
        <v>0</v>
      </c>
    </row>
    <row r="21" spans="2:19" ht="19.5" customHeight="1" x14ac:dyDescent="0.3">
      <c r="B21" s="85" t="s">
        <v>177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</row>
    <row r="22" spans="2:19" ht="15.75" customHeight="1" x14ac:dyDescent="0.3">
      <c r="B22" s="30" t="s">
        <v>47</v>
      </c>
      <c r="C22" s="12" t="s">
        <v>156</v>
      </c>
      <c r="D22" s="9">
        <v>3</v>
      </c>
      <c r="E22" s="33">
        <f>ROUND('3. Cavablar (Xam Göstəricilər)'!E22/3*3,1)</f>
        <v>0</v>
      </c>
      <c r="F22" s="33">
        <f>ROUND('3. Cavablar (Xam Göstəricilər)'!F22/3*3,1)</f>
        <v>0</v>
      </c>
      <c r="G22" s="33">
        <f>ROUND('3. Cavablar (Xam Göstəricilər)'!G22/3*3,1)</f>
        <v>0</v>
      </c>
      <c r="H22" s="33">
        <f>ROUND('3. Cavablar (Xam Göstəricilər)'!H22/3*3,1)</f>
        <v>0</v>
      </c>
      <c r="I22" s="33">
        <f>ROUND('3. Cavablar (Xam Göstəricilər)'!I22/3*3,1)</f>
        <v>0</v>
      </c>
      <c r="J22" s="33">
        <f>ROUND('3. Cavablar (Xam Göstəricilər)'!J22/3*3,1)</f>
        <v>0</v>
      </c>
      <c r="K22" s="33">
        <f>ROUND('3. Cavablar (Xam Göstəricilər)'!K22/3*3,1)</f>
        <v>0</v>
      </c>
      <c r="L22" s="33">
        <f>ROUND('3. Cavablar (Xam Göstəricilər)'!L22/3*3,1)</f>
        <v>0</v>
      </c>
      <c r="M22" s="33">
        <f>ROUND('3. Cavablar (Xam Göstəricilər)'!M22/3*3,1)</f>
        <v>0</v>
      </c>
      <c r="N22" s="33">
        <f>ROUND('3. Cavablar (Xam Göstəricilər)'!N22/3*3,1)</f>
        <v>0</v>
      </c>
      <c r="O22" s="33">
        <f>ROUND('3. Cavablar (Xam Göstəricilər)'!O22/3*3,1)</f>
        <v>0</v>
      </c>
      <c r="P22" s="33">
        <f>ROUND('3. Cavablar (Xam Göstəricilər)'!P22/3*3,1)</f>
        <v>0</v>
      </c>
      <c r="Q22" s="33">
        <f>ROUND('3. Cavablar (Xam Göstəricilər)'!Q22/3*3,1)</f>
        <v>0</v>
      </c>
      <c r="R22" s="33">
        <f>ROUND('3. Cavablar (Xam Göstəricilər)'!R22/3*3,1)</f>
        <v>0</v>
      </c>
      <c r="S22" s="33">
        <f>ROUND('3. Cavablar (Xam Göstəricilər)'!S22/3*3,1)</f>
        <v>0</v>
      </c>
    </row>
    <row r="23" spans="2:19" ht="15.75" customHeight="1" x14ac:dyDescent="0.3">
      <c r="B23" s="7" t="s">
        <v>49</v>
      </c>
      <c r="C23" s="8" t="s">
        <v>157</v>
      </c>
      <c r="D23" s="9">
        <v>4</v>
      </c>
      <c r="E23" s="32">
        <f>ROUND('3. Cavablar (Xam Göstəricilər)'!E23/3*4,1)</f>
        <v>0</v>
      </c>
      <c r="F23" s="32">
        <f>ROUND('3. Cavablar (Xam Göstəricilər)'!F23/3*4,1)</f>
        <v>0</v>
      </c>
      <c r="G23" s="32">
        <f>ROUND('3. Cavablar (Xam Göstəricilər)'!G23/3*4,1)</f>
        <v>0</v>
      </c>
      <c r="H23" s="32">
        <f>ROUND('3. Cavablar (Xam Göstəricilər)'!H23/3*4,1)</f>
        <v>0</v>
      </c>
      <c r="I23" s="32">
        <f>ROUND('3. Cavablar (Xam Göstəricilər)'!I23/3*4,1)</f>
        <v>0</v>
      </c>
      <c r="J23" s="32">
        <f>ROUND('3. Cavablar (Xam Göstəricilər)'!J23/3*4,1)</f>
        <v>0</v>
      </c>
      <c r="K23" s="32">
        <f>ROUND('3. Cavablar (Xam Göstəricilər)'!K23/3*4,1)</f>
        <v>0</v>
      </c>
      <c r="L23" s="32">
        <f>ROUND('3. Cavablar (Xam Göstəricilər)'!L23/3*4,1)</f>
        <v>0</v>
      </c>
      <c r="M23" s="32">
        <f>ROUND('3. Cavablar (Xam Göstəricilər)'!M23/3*4,1)</f>
        <v>0</v>
      </c>
      <c r="N23" s="32">
        <f>ROUND('3. Cavablar (Xam Göstəricilər)'!N23/3*4,1)</f>
        <v>0</v>
      </c>
      <c r="O23" s="32">
        <f>ROUND('3. Cavablar (Xam Göstəricilər)'!O23/3*4,1)</f>
        <v>0</v>
      </c>
      <c r="P23" s="32">
        <f>ROUND('3. Cavablar (Xam Göstəricilər)'!P23/3*4,1)</f>
        <v>0</v>
      </c>
      <c r="Q23" s="32">
        <f>ROUND('3. Cavablar (Xam Göstəricilər)'!Q23/3*4,1)</f>
        <v>0</v>
      </c>
      <c r="R23" s="32">
        <f>ROUND('3. Cavablar (Xam Göstəricilər)'!R23/3*4,1)</f>
        <v>0</v>
      </c>
      <c r="S23" s="32">
        <f>ROUND('3. Cavablar (Xam Göstəricilər)'!S23/3*4,1)</f>
        <v>0</v>
      </c>
    </row>
    <row r="24" spans="2:19" ht="15.75" customHeight="1" x14ac:dyDescent="0.3">
      <c r="B24" s="30" t="s">
        <v>51</v>
      </c>
      <c r="C24" s="12" t="s">
        <v>158</v>
      </c>
      <c r="D24" s="9">
        <v>3</v>
      </c>
      <c r="E24" s="33">
        <f>ROUND('3. Cavablar (Xam Göstəricilər)'!E24/3*3,1)</f>
        <v>0</v>
      </c>
      <c r="F24" s="33">
        <f>ROUND('3. Cavablar (Xam Göstəricilər)'!F24/3*3,1)</f>
        <v>0</v>
      </c>
      <c r="G24" s="33">
        <f>ROUND('3. Cavablar (Xam Göstəricilər)'!G24/3*3,1)</f>
        <v>0</v>
      </c>
      <c r="H24" s="33">
        <f>ROUND('3. Cavablar (Xam Göstəricilər)'!H24/3*3,1)</f>
        <v>0</v>
      </c>
      <c r="I24" s="33">
        <f>ROUND('3. Cavablar (Xam Göstəricilər)'!I24/3*3,1)</f>
        <v>0</v>
      </c>
      <c r="J24" s="33">
        <f>ROUND('3. Cavablar (Xam Göstəricilər)'!J24/3*3,1)</f>
        <v>0</v>
      </c>
      <c r="K24" s="33">
        <f>ROUND('3. Cavablar (Xam Göstəricilər)'!K24/3*3,1)</f>
        <v>0</v>
      </c>
      <c r="L24" s="33">
        <f>ROUND('3. Cavablar (Xam Göstəricilər)'!L24/3*3,1)</f>
        <v>0</v>
      </c>
      <c r="M24" s="33">
        <f>ROUND('3. Cavablar (Xam Göstəricilər)'!M24/3*3,1)</f>
        <v>0</v>
      </c>
      <c r="N24" s="33">
        <f>ROUND('3. Cavablar (Xam Göstəricilər)'!N24/3*3,1)</f>
        <v>0</v>
      </c>
      <c r="O24" s="33">
        <f>ROUND('3. Cavablar (Xam Göstəricilər)'!O24/3*3,1)</f>
        <v>0</v>
      </c>
      <c r="P24" s="33">
        <f>ROUND('3. Cavablar (Xam Göstəricilər)'!P24/3*3,1)</f>
        <v>0</v>
      </c>
      <c r="Q24" s="33">
        <f>ROUND('3. Cavablar (Xam Göstəricilər)'!Q24/3*3,1)</f>
        <v>0</v>
      </c>
      <c r="R24" s="33">
        <f>ROUND('3. Cavablar (Xam Göstəricilər)'!R24/3*3,1)</f>
        <v>0</v>
      </c>
      <c r="S24" s="33">
        <f>ROUND('3. Cavablar (Xam Göstəricilər)'!S24/3*3,1)</f>
        <v>0</v>
      </c>
    </row>
    <row r="25" spans="2:19" ht="19.5" customHeight="1" x14ac:dyDescent="0.3">
      <c r="B25" s="85" t="s">
        <v>178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</row>
    <row r="26" spans="2:19" ht="15.75" customHeight="1" x14ac:dyDescent="0.3">
      <c r="B26" s="30" t="s">
        <v>56</v>
      </c>
      <c r="C26" s="12" t="s">
        <v>160</v>
      </c>
      <c r="D26" s="9">
        <v>4</v>
      </c>
      <c r="E26" s="33">
        <f>IF('3. Cavablar (Xam Göstəricilər)'!E26&lt;20,0,IF('3. Cavablar (Xam Göstəricilər)'!E26&lt;50,ROUND(4*0.4,1),IF('3. Cavablar (Xam Göstəricilər)'!E26&lt;100,ROUND(4*0.75,1),4)))</f>
        <v>0</v>
      </c>
      <c r="F26" s="33">
        <f>IF('3. Cavablar (Xam Göstəricilər)'!F26&lt;20,0,IF('3. Cavablar (Xam Göstəricilər)'!F26&lt;50,ROUND(4*0.4,1),IF('3. Cavablar (Xam Göstəricilər)'!F26&lt;100,ROUND(4*0.75,1),4)))</f>
        <v>0</v>
      </c>
      <c r="G26" s="33">
        <f>IF('3. Cavablar (Xam Göstəricilər)'!G26&lt;20,0,IF('3. Cavablar (Xam Göstəricilər)'!G26&lt;50,ROUND(4*0.4,1),IF('3. Cavablar (Xam Göstəricilər)'!G26&lt;100,ROUND(4*0.75,1),4)))</f>
        <v>0</v>
      </c>
      <c r="H26" s="33">
        <f>IF('3. Cavablar (Xam Göstəricilər)'!H26&lt;20,0,IF('3. Cavablar (Xam Göstəricilər)'!H26&lt;50,ROUND(4*0.4,1),IF('3. Cavablar (Xam Göstəricilər)'!H26&lt;100,ROUND(4*0.75,1),4)))</f>
        <v>0</v>
      </c>
      <c r="I26" s="33">
        <f>IF('3. Cavablar (Xam Göstəricilər)'!I26&lt;20,0,IF('3. Cavablar (Xam Göstəricilər)'!I26&lt;50,ROUND(4*0.4,1),IF('3. Cavablar (Xam Göstəricilər)'!I26&lt;100,ROUND(4*0.75,1),4)))</f>
        <v>0</v>
      </c>
      <c r="J26" s="33">
        <f>IF('3. Cavablar (Xam Göstəricilər)'!J26&lt;20,0,IF('3. Cavablar (Xam Göstəricilər)'!J26&lt;50,ROUND(4*0.4,1),IF('3. Cavablar (Xam Göstəricilər)'!J26&lt;100,ROUND(4*0.75,1),4)))</f>
        <v>0</v>
      </c>
      <c r="K26" s="33">
        <f>IF('3. Cavablar (Xam Göstəricilər)'!K26&lt;20,0,IF('3. Cavablar (Xam Göstəricilər)'!K26&lt;50,ROUND(4*0.4,1),IF('3. Cavablar (Xam Göstəricilər)'!K26&lt;100,ROUND(4*0.75,1),4)))</f>
        <v>0</v>
      </c>
      <c r="L26" s="33">
        <f>IF('3. Cavablar (Xam Göstəricilər)'!L26&lt;20,0,IF('3. Cavablar (Xam Göstəricilər)'!L26&lt;50,ROUND(4*0.4,1),IF('3. Cavablar (Xam Göstəricilər)'!L26&lt;100,ROUND(4*0.75,1),4)))</f>
        <v>0</v>
      </c>
      <c r="M26" s="33">
        <f>IF('3. Cavablar (Xam Göstəricilər)'!M26&lt;20,0,IF('3. Cavablar (Xam Göstəricilər)'!M26&lt;50,ROUND(4*0.4,1),IF('3. Cavablar (Xam Göstəricilər)'!M26&lt;100,ROUND(4*0.75,1),4)))</f>
        <v>0</v>
      </c>
      <c r="N26" s="33">
        <f>IF('3. Cavablar (Xam Göstəricilər)'!N26&lt;20,0,IF('3. Cavablar (Xam Göstəricilər)'!N26&lt;50,ROUND(4*0.4,1),IF('3. Cavablar (Xam Göstəricilər)'!N26&lt;100,ROUND(4*0.75,1),4)))</f>
        <v>0</v>
      </c>
      <c r="O26" s="33">
        <f>IF('3. Cavablar (Xam Göstəricilər)'!O26&lt;20,0,IF('3. Cavablar (Xam Göstəricilər)'!O26&lt;50,ROUND(4*0.4,1),IF('3. Cavablar (Xam Göstəricilər)'!O26&lt;100,ROUND(4*0.75,1),4)))</f>
        <v>0</v>
      </c>
      <c r="P26" s="33">
        <f>IF('3. Cavablar (Xam Göstəricilər)'!P26&lt;20,0,IF('3. Cavablar (Xam Göstəricilər)'!P26&lt;50,ROUND(4*0.4,1),IF('3. Cavablar (Xam Göstəricilər)'!P26&lt;100,ROUND(4*0.75,1),4)))</f>
        <v>0</v>
      </c>
      <c r="Q26" s="33">
        <f>IF('3. Cavablar (Xam Göstəricilər)'!Q26&lt;20,0,IF('3. Cavablar (Xam Göstəricilər)'!Q26&lt;50,ROUND(4*0.4,1),IF('3. Cavablar (Xam Göstəricilər)'!Q26&lt;100,ROUND(4*0.75,1),4)))</f>
        <v>0</v>
      </c>
      <c r="R26" s="33">
        <f>IF('3. Cavablar (Xam Göstəricilər)'!R26&lt;20,0,IF('3. Cavablar (Xam Göstəricilər)'!R26&lt;50,ROUND(4*0.4,1),IF('3. Cavablar (Xam Göstəricilər)'!R26&lt;100,ROUND(4*0.75,1),4)))</f>
        <v>0</v>
      </c>
      <c r="S26" s="33">
        <f>IF('3. Cavablar (Xam Göstəricilər)'!S26&lt;20,0,IF('3. Cavablar (Xam Göstəricilər)'!S26&lt;50,ROUND(4*0.4,1),IF('3. Cavablar (Xam Göstəricilər)'!S26&lt;100,ROUND(4*0.75,1),4)))</f>
        <v>0</v>
      </c>
    </row>
    <row r="27" spans="2:19" ht="15.75" customHeight="1" x14ac:dyDescent="0.3">
      <c r="B27" s="7" t="s">
        <v>58</v>
      </c>
      <c r="C27" s="8" t="s">
        <v>162</v>
      </c>
      <c r="D27" s="9">
        <v>4</v>
      </c>
      <c r="E27" s="32">
        <f>IF('3. Cavablar (Xam Göstəricilər)'!E27&lt;3,0,IF('3. Cavablar (Xam Göstəricilər)'!E27&lt;=7,ROUND(4*0.4,1),IF('3. Cavablar (Xam Göstəricilər)'!E27&lt;=15,ROUND(4*0.75,1),4)))</f>
        <v>0</v>
      </c>
      <c r="F27" s="32">
        <f>IF('3. Cavablar (Xam Göstəricilər)'!F27&lt;3,0,IF('3. Cavablar (Xam Göstəricilər)'!F27&lt;=7,ROUND(4*0.4,1),IF('3. Cavablar (Xam Göstəricilər)'!F27&lt;=15,ROUND(4*0.75,1),4)))</f>
        <v>0</v>
      </c>
      <c r="G27" s="32">
        <f>IF('3. Cavablar (Xam Göstəricilər)'!G27&lt;3,0,IF('3. Cavablar (Xam Göstəricilər)'!G27&lt;=7,ROUND(4*0.4,1),IF('3. Cavablar (Xam Göstəricilər)'!G27&lt;=15,ROUND(4*0.75,1),4)))</f>
        <v>0</v>
      </c>
      <c r="H27" s="32">
        <f>IF('3. Cavablar (Xam Göstəricilər)'!H27&lt;3,0,IF('3. Cavablar (Xam Göstəricilər)'!H27&lt;=7,ROUND(4*0.4,1),IF('3. Cavablar (Xam Göstəricilər)'!H27&lt;=15,ROUND(4*0.75,1),4)))</f>
        <v>0</v>
      </c>
      <c r="I27" s="32">
        <f>IF('3. Cavablar (Xam Göstəricilər)'!I27&lt;3,0,IF('3. Cavablar (Xam Göstəricilər)'!I27&lt;=7,ROUND(4*0.4,1),IF('3. Cavablar (Xam Göstəricilər)'!I27&lt;=15,ROUND(4*0.75,1),4)))</f>
        <v>0</v>
      </c>
      <c r="J27" s="32">
        <f>IF('3. Cavablar (Xam Göstəricilər)'!J27&lt;3,0,IF('3. Cavablar (Xam Göstəricilər)'!J27&lt;=7,ROUND(4*0.4,1),IF('3. Cavablar (Xam Göstəricilər)'!J27&lt;=15,ROUND(4*0.75,1),4)))</f>
        <v>0</v>
      </c>
      <c r="K27" s="32">
        <f>IF('3. Cavablar (Xam Göstəricilər)'!K27&lt;3,0,IF('3. Cavablar (Xam Göstəricilər)'!K27&lt;=7,ROUND(4*0.4,1),IF('3. Cavablar (Xam Göstəricilər)'!K27&lt;=15,ROUND(4*0.75,1),4)))</f>
        <v>0</v>
      </c>
      <c r="L27" s="32">
        <f>IF('3. Cavablar (Xam Göstəricilər)'!L27&lt;3,0,IF('3. Cavablar (Xam Göstəricilər)'!L27&lt;=7,ROUND(4*0.4,1),IF('3. Cavablar (Xam Göstəricilər)'!L27&lt;=15,ROUND(4*0.75,1),4)))</f>
        <v>0</v>
      </c>
      <c r="M27" s="32">
        <f>IF('3. Cavablar (Xam Göstəricilər)'!M27&lt;3,0,IF('3. Cavablar (Xam Göstəricilər)'!M27&lt;=7,ROUND(4*0.4,1),IF('3. Cavablar (Xam Göstəricilər)'!M27&lt;=15,ROUND(4*0.75,1),4)))</f>
        <v>0</v>
      </c>
      <c r="N27" s="32">
        <f>IF('3. Cavablar (Xam Göstəricilər)'!N27&lt;3,0,IF('3. Cavablar (Xam Göstəricilər)'!N27&lt;=7,ROUND(4*0.4,1),IF('3. Cavablar (Xam Göstəricilər)'!N27&lt;=15,ROUND(4*0.75,1),4)))</f>
        <v>0</v>
      </c>
      <c r="O27" s="32">
        <f>IF('3. Cavablar (Xam Göstəricilər)'!O27&lt;3,0,IF('3. Cavablar (Xam Göstəricilər)'!O27&lt;=7,ROUND(4*0.4,1),IF('3. Cavablar (Xam Göstəricilər)'!O27&lt;=15,ROUND(4*0.75,1),4)))</f>
        <v>0</v>
      </c>
      <c r="P27" s="32">
        <f>IF('3. Cavablar (Xam Göstəricilər)'!P27&lt;3,0,IF('3. Cavablar (Xam Göstəricilər)'!P27&lt;=7,ROUND(4*0.4,1),IF('3. Cavablar (Xam Göstəricilər)'!P27&lt;=15,ROUND(4*0.75,1),4)))</f>
        <v>0</v>
      </c>
      <c r="Q27" s="32">
        <f>IF('3. Cavablar (Xam Göstəricilər)'!Q27&lt;3,0,IF('3. Cavablar (Xam Göstəricilər)'!Q27&lt;=7,ROUND(4*0.4,1),IF('3. Cavablar (Xam Göstəricilər)'!Q27&lt;=15,ROUND(4*0.75,1),4)))</f>
        <v>0</v>
      </c>
      <c r="R27" s="32">
        <f>IF('3. Cavablar (Xam Göstəricilər)'!R27&lt;3,0,IF('3. Cavablar (Xam Göstəricilər)'!R27&lt;=7,ROUND(4*0.4,1),IF('3. Cavablar (Xam Göstəricilər)'!R27&lt;=15,ROUND(4*0.75,1),4)))</f>
        <v>0</v>
      </c>
      <c r="S27" s="32">
        <f>IF('3. Cavablar (Xam Göstəricilər)'!S27&lt;3,0,IF('3. Cavablar (Xam Göstəricilər)'!S27&lt;=7,ROUND(4*0.4,1),IF('3. Cavablar (Xam Göstəricilər)'!S27&lt;=15,ROUND(4*0.75,1),4)))</f>
        <v>0</v>
      </c>
    </row>
    <row r="28" spans="2:19" ht="15.75" customHeight="1" x14ac:dyDescent="0.3">
      <c r="B28" s="30" t="s">
        <v>60</v>
      </c>
      <c r="C28" s="12" t="s">
        <v>163</v>
      </c>
      <c r="D28" s="9">
        <v>3</v>
      </c>
      <c r="E28" s="33">
        <f>ROUND('3. Cavablar (Xam Göstəricilər)'!E28/3*3,1)</f>
        <v>0</v>
      </c>
      <c r="F28" s="33">
        <f>ROUND('3. Cavablar (Xam Göstəricilər)'!F28/3*3,1)</f>
        <v>0</v>
      </c>
      <c r="G28" s="33">
        <f>ROUND('3. Cavablar (Xam Göstəricilər)'!G28/3*3,1)</f>
        <v>0</v>
      </c>
      <c r="H28" s="33">
        <f>ROUND('3. Cavablar (Xam Göstəricilər)'!H28/3*3,1)</f>
        <v>0</v>
      </c>
      <c r="I28" s="33">
        <f>ROUND('3. Cavablar (Xam Göstəricilər)'!I28/3*3,1)</f>
        <v>0</v>
      </c>
      <c r="J28" s="33">
        <f>ROUND('3. Cavablar (Xam Göstəricilər)'!J28/3*3,1)</f>
        <v>0</v>
      </c>
      <c r="K28" s="33">
        <f>ROUND('3. Cavablar (Xam Göstəricilər)'!K28/3*3,1)</f>
        <v>0</v>
      </c>
      <c r="L28" s="33">
        <f>ROUND('3. Cavablar (Xam Göstəricilər)'!L28/3*3,1)</f>
        <v>0</v>
      </c>
      <c r="M28" s="33">
        <f>ROUND('3. Cavablar (Xam Göstəricilər)'!M28/3*3,1)</f>
        <v>0</v>
      </c>
      <c r="N28" s="33">
        <f>ROUND('3. Cavablar (Xam Göstəricilər)'!N28/3*3,1)</f>
        <v>0</v>
      </c>
      <c r="O28" s="33">
        <f>ROUND('3. Cavablar (Xam Göstəricilər)'!O28/3*3,1)</f>
        <v>0</v>
      </c>
      <c r="P28" s="33">
        <f>ROUND('3. Cavablar (Xam Göstəricilər)'!P28/3*3,1)</f>
        <v>0</v>
      </c>
      <c r="Q28" s="33">
        <f>ROUND('3. Cavablar (Xam Göstəricilər)'!Q28/3*3,1)</f>
        <v>0</v>
      </c>
      <c r="R28" s="33">
        <f>ROUND('3. Cavablar (Xam Göstəricilər)'!R28/3*3,1)</f>
        <v>0</v>
      </c>
      <c r="S28" s="33">
        <f>ROUND('3. Cavablar (Xam Göstəricilər)'!S28/3*3,1)</f>
        <v>0</v>
      </c>
    </row>
    <row r="29" spans="2:19" ht="15.75" customHeight="1" x14ac:dyDescent="0.3">
      <c r="B29" s="7" t="s">
        <v>62</v>
      </c>
      <c r="C29" s="8" t="s">
        <v>164</v>
      </c>
      <c r="D29" s="9">
        <v>4</v>
      </c>
      <c r="E29" s="32">
        <f>ROUND('3. Cavablar (Xam Göstəricilər)'!E29/3*4,1)</f>
        <v>0</v>
      </c>
      <c r="F29" s="32">
        <f>ROUND('3. Cavablar (Xam Göstəricilər)'!F29/3*4,1)</f>
        <v>0</v>
      </c>
      <c r="G29" s="32">
        <f>ROUND('3. Cavablar (Xam Göstəricilər)'!G29/3*4,1)</f>
        <v>0</v>
      </c>
      <c r="H29" s="32">
        <f>ROUND('3. Cavablar (Xam Göstəricilər)'!H29/3*4,1)</f>
        <v>0</v>
      </c>
      <c r="I29" s="32">
        <f>ROUND('3. Cavablar (Xam Göstəricilər)'!I29/3*4,1)</f>
        <v>0</v>
      </c>
      <c r="J29" s="32">
        <f>ROUND('3. Cavablar (Xam Göstəricilər)'!J29/3*4,1)</f>
        <v>0</v>
      </c>
      <c r="K29" s="32">
        <f>ROUND('3. Cavablar (Xam Göstəricilər)'!K29/3*4,1)</f>
        <v>0</v>
      </c>
      <c r="L29" s="32">
        <f>ROUND('3. Cavablar (Xam Göstəricilər)'!L29/3*4,1)</f>
        <v>0</v>
      </c>
      <c r="M29" s="32">
        <f>ROUND('3. Cavablar (Xam Göstəricilər)'!M29/3*4,1)</f>
        <v>0</v>
      </c>
      <c r="N29" s="32">
        <f>ROUND('3. Cavablar (Xam Göstəricilər)'!N29/3*4,1)</f>
        <v>0</v>
      </c>
      <c r="O29" s="32">
        <f>ROUND('3. Cavablar (Xam Göstəricilər)'!O29/3*4,1)</f>
        <v>0</v>
      </c>
      <c r="P29" s="32">
        <f>ROUND('3. Cavablar (Xam Göstəricilər)'!P29/3*4,1)</f>
        <v>0</v>
      </c>
      <c r="Q29" s="32">
        <f>ROUND('3. Cavablar (Xam Göstəricilər)'!Q29/3*4,1)</f>
        <v>0</v>
      </c>
      <c r="R29" s="32">
        <f>ROUND('3. Cavablar (Xam Göstəricilər)'!R29/3*4,1)</f>
        <v>0</v>
      </c>
      <c r="S29" s="32">
        <f>ROUND('3. Cavablar (Xam Göstəricilər)'!S29/3*4,1)</f>
        <v>0</v>
      </c>
    </row>
    <row r="30" spans="2:19" ht="19.5" customHeight="1" x14ac:dyDescent="0.3">
      <c r="B30" s="85" t="s">
        <v>179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</row>
    <row r="31" spans="2:19" ht="15.75" customHeight="1" x14ac:dyDescent="0.3">
      <c r="B31" s="7" t="s">
        <v>67</v>
      </c>
      <c r="C31" s="8" t="s">
        <v>165</v>
      </c>
      <c r="D31" s="9">
        <v>4</v>
      </c>
      <c r="E31" s="32">
        <f>ROUND('3. Cavablar (Xam Göstəricilər)'!E31/3*4,1)</f>
        <v>0</v>
      </c>
      <c r="F31" s="32">
        <f>ROUND('3. Cavablar (Xam Göstəricilər)'!F31/3*4,1)</f>
        <v>0</v>
      </c>
      <c r="G31" s="32">
        <f>ROUND('3. Cavablar (Xam Göstəricilər)'!G31/3*4,1)</f>
        <v>0</v>
      </c>
      <c r="H31" s="32">
        <f>ROUND('3. Cavablar (Xam Göstəricilər)'!H31/3*4,1)</f>
        <v>0</v>
      </c>
      <c r="I31" s="32">
        <f>ROUND('3. Cavablar (Xam Göstəricilər)'!I31/3*4,1)</f>
        <v>0</v>
      </c>
      <c r="J31" s="32">
        <f>ROUND('3. Cavablar (Xam Göstəricilər)'!J31/3*4,1)</f>
        <v>0</v>
      </c>
      <c r="K31" s="32">
        <f>ROUND('3. Cavablar (Xam Göstəricilər)'!K31/3*4,1)</f>
        <v>0</v>
      </c>
      <c r="L31" s="32">
        <f>ROUND('3. Cavablar (Xam Göstəricilər)'!L31/3*4,1)</f>
        <v>0</v>
      </c>
      <c r="M31" s="32">
        <f>ROUND('3. Cavablar (Xam Göstəricilər)'!M31/3*4,1)</f>
        <v>0</v>
      </c>
      <c r="N31" s="32">
        <f>ROUND('3. Cavablar (Xam Göstəricilər)'!N31/3*4,1)</f>
        <v>0</v>
      </c>
      <c r="O31" s="32">
        <f>ROUND('3. Cavablar (Xam Göstəricilər)'!O31/3*4,1)</f>
        <v>0</v>
      </c>
      <c r="P31" s="32">
        <f>ROUND('3. Cavablar (Xam Göstəricilər)'!P31/3*4,1)</f>
        <v>0</v>
      </c>
      <c r="Q31" s="32">
        <f>ROUND('3. Cavablar (Xam Göstəricilər)'!Q31/3*4,1)</f>
        <v>0</v>
      </c>
      <c r="R31" s="32">
        <f>ROUND('3. Cavablar (Xam Göstəricilər)'!R31/3*4,1)</f>
        <v>0</v>
      </c>
      <c r="S31" s="32">
        <f>ROUND('3. Cavablar (Xam Göstəricilər)'!S31/3*4,1)</f>
        <v>0</v>
      </c>
    </row>
    <row r="32" spans="2:19" ht="15.75" customHeight="1" x14ac:dyDescent="0.3">
      <c r="B32" s="30" t="s">
        <v>69</v>
      </c>
      <c r="C32" s="12" t="s">
        <v>166</v>
      </c>
      <c r="D32" s="9">
        <v>3</v>
      </c>
      <c r="E32" s="33">
        <f>ROUND('3. Cavablar (Xam Göstəricilər)'!E32/3*3,1)</f>
        <v>0</v>
      </c>
      <c r="F32" s="33">
        <f>ROUND('3. Cavablar (Xam Göstəricilər)'!F32/3*3,1)</f>
        <v>0</v>
      </c>
      <c r="G32" s="33">
        <f>ROUND('3. Cavablar (Xam Göstəricilər)'!G32/3*3,1)</f>
        <v>0</v>
      </c>
      <c r="H32" s="33">
        <f>ROUND('3. Cavablar (Xam Göstəricilər)'!H32/3*3,1)</f>
        <v>0</v>
      </c>
      <c r="I32" s="33">
        <f>ROUND('3. Cavablar (Xam Göstəricilər)'!I32/3*3,1)</f>
        <v>0</v>
      </c>
      <c r="J32" s="33">
        <f>ROUND('3. Cavablar (Xam Göstəricilər)'!J32/3*3,1)</f>
        <v>0</v>
      </c>
      <c r="K32" s="33">
        <f>ROUND('3. Cavablar (Xam Göstəricilər)'!K32/3*3,1)</f>
        <v>0</v>
      </c>
      <c r="L32" s="33">
        <f>ROUND('3. Cavablar (Xam Göstəricilər)'!L32/3*3,1)</f>
        <v>0</v>
      </c>
      <c r="M32" s="33">
        <f>ROUND('3. Cavablar (Xam Göstəricilər)'!M32/3*3,1)</f>
        <v>0</v>
      </c>
      <c r="N32" s="33">
        <f>ROUND('3. Cavablar (Xam Göstəricilər)'!N32/3*3,1)</f>
        <v>0</v>
      </c>
      <c r="O32" s="33">
        <f>ROUND('3. Cavablar (Xam Göstəricilər)'!O32/3*3,1)</f>
        <v>0</v>
      </c>
      <c r="P32" s="33">
        <f>ROUND('3. Cavablar (Xam Göstəricilər)'!P32/3*3,1)</f>
        <v>0</v>
      </c>
      <c r="Q32" s="33">
        <f>ROUND('3. Cavablar (Xam Göstəricilər)'!Q32/3*3,1)</f>
        <v>0</v>
      </c>
      <c r="R32" s="33">
        <f>ROUND('3. Cavablar (Xam Göstəricilər)'!R32/3*3,1)</f>
        <v>0</v>
      </c>
      <c r="S32" s="33">
        <f>ROUND('3. Cavablar (Xam Göstəricilər)'!S32/3*3,1)</f>
        <v>0</v>
      </c>
    </row>
    <row r="33" spans="2:19" ht="15.75" customHeight="1" x14ac:dyDescent="0.3">
      <c r="B33" s="7" t="s">
        <v>71</v>
      </c>
      <c r="C33" s="8" t="s">
        <v>167</v>
      </c>
      <c r="D33" s="9">
        <v>3</v>
      </c>
      <c r="E33" s="32">
        <f>ROUND('3. Cavablar (Xam Göstəricilər)'!E33/3*3,1)</f>
        <v>0</v>
      </c>
      <c r="F33" s="32">
        <f>ROUND('3. Cavablar (Xam Göstəricilər)'!F33/3*3,1)</f>
        <v>0</v>
      </c>
      <c r="G33" s="32">
        <f>ROUND('3. Cavablar (Xam Göstəricilər)'!G33/3*3,1)</f>
        <v>0</v>
      </c>
      <c r="H33" s="32">
        <f>ROUND('3. Cavablar (Xam Göstəricilər)'!H33/3*3,1)</f>
        <v>0</v>
      </c>
      <c r="I33" s="32">
        <f>ROUND('3. Cavablar (Xam Göstəricilər)'!I33/3*3,1)</f>
        <v>0</v>
      </c>
      <c r="J33" s="32">
        <f>ROUND('3. Cavablar (Xam Göstəricilər)'!J33/3*3,1)</f>
        <v>0</v>
      </c>
      <c r="K33" s="32">
        <f>ROUND('3. Cavablar (Xam Göstəricilər)'!K33/3*3,1)</f>
        <v>0</v>
      </c>
      <c r="L33" s="32">
        <f>ROUND('3. Cavablar (Xam Göstəricilər)'!L33/3*3,1)</f>
        <v>0</v>
      </c>
      <c r="M33" s="32">
        <f>ROUND('3. Cavablar (Xam Göstəricilər)'!M33/3*3,1)</f>
        <v>0</v>
      </c>
      <c r="N33" s="32">
        <f>ROUND('3. Cavablar (Xam Göstəricilər)'!N33/3*3,1)</f>
        <v>0</v>
      </c>
      <c r="O33" s="32">
        <f>ROUND('3. Cavablar (Xam Göstəricilər)'!O33/3*3,1)</f>
        <v>0</v>
      </c>
      <c r="P33" s="32">
        <f>ROUND('3. Cavablar (Xam Göstəricilər)'!P33/3*3,1)</f>
        <v>0</v>
      </c>
      <c r="Q33" s="32">
        <f>ROUND('3. Cavablar (Xam Göstəricilər)'!Q33/3*3,1)</f>
        <v>0</v>
      </c>
      <c r="R33" s="32">
        <f>ROUND('3. Cavablar (Xam Göstəricilər)'!R33/3*3,1)</f>
        <v>0</v>
      </c>
      <c r="S33" s="32">
        <f>ROUND('3. Cavablar (Xam Göstəricilər)'!S33/3*3,1)</f>
        <v>0</v>
      </c>
    </row>
    <row r="34" spans="2:19" ht="19.5" customHeight="1" x14ac:dyDescent="0.3">
      <c r="B34" s="85" t="s">
        <v>180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</row>
    <row r="35" spans="2:19" ht="15.75" customHeight="1" x14ac:dyDescent="0.3">
      <c r="B35" s="7" t="s">
        <v>76</v>
      </c>
      <c r="C35" s="8" t="s">
        <v>169</v>
      </c>
      <c r="D35" s="9">
        <v>3</v>
      </c>
      <c r="E35" s="32">
        <f>ROUND('3. Cavablar (Xam Göstəricilər)'!E35/3*3,1)</f>
        <v>0</v>
      </c>
      <c r="F35" s="32">
        <f>ROUND('3. Cavablar (Xam Göstəricilər)'!F35/3*3,1)</f>
        <v>0</v>
      </c>
      <c r="G35" s="32">
        <f>ROUND('3. Cavablar (Xam Göstəricilər)'!G35/3*3,1)</f>
        <v>0</v>
      </c>
      <c r="H35" s="32">
        <f>ROUND('3. Cavablar (Xam Göstəricilər)'!H35/3*3,1)</f>
        <v>0</v>
      </c>
      <c r="I35" s="32">
        <f>ROUND('3. Cavablar (Xam Göstəricilər)'!I35/3*3,1)</f>
        <v>0</v>
      </c>
      <c r="J35" s="32">
        <f>ROUND('3. Cavablar (Xam Göstəricilər)'!J35/3*3,1)</f>
        <v>0</v>
      </c>
      <c r="K35" s="32">
        <f>ROUND('3. Cavablar (Xam Göstəricilər)'!K35/3*3,1)</f>
        <v>0</v>
      </c>
      <c r="L35" s="32">
        <f>ROUND('3. Cavablar (Xam Göstəricilər)'!L35/3*3,1)</f>
        <v>0</v>
      </c>
      <c r="M35" s="32">
        <f>ROUND('3. Cavablar (Xam Göstəricilər)'!M35/3*3,1)</f>
        <v>0</v>
      </c>
      <c r="N35" s="32">
        <f>ROUND('3. Cavablar (Xam Göstəricilər)'!N35/3*3,1)</f>
        <v>0</v>
      </c>
      <c r="O35" s="32">
        <f>ROUND('3. Cavablar (Xam Göstəricilər)'!O35/3*3,1)</f>
        <v>0</v>
      </c>
      <c r="P35" s="32">
        <f>ROUND('3. Cavablar (Xam Göstəricilər)'!P35/3*3,1)</f>
        <v>0</v>
      </c>
      <c r="Q35" s="32">
        <f>ROUND('3. Cavablar (Xam Göstəricilər)'!Q35/3*3,1)</f>
        <v>0</v>
      </c>
      <c r="R35" s="32">
        <f>ROUND('3. Cavablar (Xam Göstəricilər)'!R35/3*3,1)</f>
        <v>0</v>
      </c>
      <c r="S35" s="32">
        <f>ROUND('3. Cavablar (Xam Göstəricilər)'!S35/3*3,1)</f>
        <v>0</v>
      </c>
    </row>
    <row r="36" spans="2:19" ht="15.75" customHeight="1" x14ac:dyDescent="0.3">
      <c r="B36" s="30" t="s">
        <v>78</v>
      </c>
      <c r="C36" s="12" t="s">
        <v>170</v>
      </c>
      <c r="D36" s="9">
        <v>2</v>
      </c>
      <c r="E36" s="33">
        <f>IF('3. Cavablar (Xam Göstəricilər)'!E36=0,0,IF('3. Cavablar (Xam Göstəricilər)'!E36&lt;=2,ROUND(2*0.4,1),IF('3. Cavablar (Xam Göstəricilər)'!E36&lt;=5,ROUND(2*0.7,1),2)))</f>
        <v>0</v>
      </c>
      <c r="F36" s="33">
        <f>IF('3. Cavablar (Xam Göstəricilər)'!F36=0,0,IF('3. Cavablar (Xam Göstəricilər)'!F36&lt;=2,ROUND(2*0.4,1),IF('3. Cavablar (Xam Göstəricilər)'!F36&lt;=5,ROUND(2*0.7,1),2)))</f>
        <v>0</v>
      </c>
      <c r="G36" s="33">
        <f>IF('3. Cavablar (Xam Göstəricilər)'!G36=0,0,IF('3. Cavablar (Xam Göstəricilər)'!G36&lt;=2,ROUND(2*0.4,1),IF('3. Cavablar (Xam Göstəricilər)'!G36&lt;=5,ROUND(2*0.7,1),2)))</f>
        <v>0</v>
      </c>
      <c r="H36" s="33">
        <f>IF('3. Cavablar (Xam Göstəricilər)'!H36=0,0,IF('3. Cavablar (Xam Göstəricilər)'!H36&lt;=2,ROUND(2*0.4,1),IF('3. Cavablar (Xam Göstəricilər)'!H36&lt;=5,ROUND(2*0.7,1),2)))</f>
        <v>0</v>
      </c>
      <c r="I36" s="33">
        <f>IF('3. Cavablar (Xam Göstəricilər)'!I36=0,0,IF('3. Cavablar (Xam Göstəricilər)'!I36&lt;=2,ROUND(2*0.4,1),IF('3. Cavablar (Xam Göstəricilər)'!I36&lt;=5,ROUND(2*0.7,1),2)))</f>
        <v>0</v>
      </c>
      <c r="J36" s="33">
        <f>IF('3. Cavablar (Xam Göstəricilər)'!J36=0,0,IF('3. Cavablar (Xam Göstəricilər)'!J36&lt;=2,ROUND(2*0.4,1),IF('3. Cavablar (Xam Göstəricilər)'!J36&lt;=5,ROUND(2*0.7,1),2)))</f>
        <v>0</v>
      </c>
      <c r="K36" s="33">
        <f>IF('3. Cavablar (Xam Göstəricilər)'!K36=0,0,IF('3. Cavablar (Xam Göstəricilər)'!K36&lt;=2,ROUND(2*0.4,1),IF('3. Cavablar (Xam Göstəricilər)'!K36&lt;=5,ROUND(2*0.7,1),2)))</f>
        <v>0</v>
      </c>
      <c r="L36" s="33">
        <f>IF('3. Cavablar (Xam Göstəricilər)'!L36=0,0,IF('3. Cavablar (Xam Göstəricilər)'!L36&lt;=2,ROUND(2*0.4,1),IF('3. Cavablar (Xam Göstəricilər)'!L36&lt;=5,ROUND(2*0.7,1),2)))</f>
        <v>0</v>
      </c>
      <c r="M36" s="33">
        <f>IF('3. Cavablar (Xam Göstəricilər)'!M36=0,0,IF('3. Cavablar (Xam Göstəricilər)'!M36&lt;=2,ROUND(2*0.4,1),IF('3. Cavablar (Xam Göstəricilər)'!M36&lt;=5,ROUND(2*0.7,1),2)))</f>
        <v>0</v>
      </c>
      <c r="N36" s="33">
        <f>IF('3. Cavablar (Xam Göstəricilər)'!N36=0,0,IF('3. Cavablar (Xam Göstəricilər)'!N36&lt;=2,ROUND(2*0.4,1),IF('3. Cavablar (Xam Göstəricilər)'!N36&lt;=5,ROUND(2*0.7,1),2)))</f>
        <v>0</v>
      </c>
      <c r="O36" s="33">
        <f>IF('3. Cavablar (Xam Göstəricilər)'!O36=0,0,IF('3. Cavablar (Xam Göstəricilər)'!O36&lt;=2,ROUND(2*0.4,1),IF('3. Cavablar (Xam Göstəricilər)'!O36&lt;=5,ROUND(2*0.7,1),2)))</f>
        <v>0</v>
      </c>
      <c r="P36" s="33">
        <f>IF('3. Cavablar (Xam Göstəricilər)'!P36=0,0,IF('3. Cavablar (Xam Göstəricilər)'!P36&lt;=2,ROUND(2*0.4,1),IF('3. Cavablar (Xam Göstəricilər)'!P36&lt;=5,ROUND(2*0.7,1),2)))</f>
        <v>0</v>
      </c>
      <c r="Q36" s="33">
        <f>IF('3. Cavablar (Xam Göstəricilər)'!Q36=0,0,IF('3. Cavablar (Xam Göstəricilər)'!Q36&lt;=2,ROUND(2*0.4,1),IF('3. Cavablar (Xam Göstəricilər)'!Q36&lt;=5,ROUND(2*0.7,1),2)))</f>
        <v>0</v>
      </c>
      <c r="R36" s="33">
        <f>IF('3. Cavablar (Xam Göstəricilər)'!R36=0,0,IF('3. Cavablar (Xam Göstəricilər)'!R36&lt;=2,ROUND(2*0.4,1),IF('3. Cavablar (Xam Göstəricilər)'!R36&lt;=5,ROUND(2*0.7,1),2)))</f>
        <v>0</v>
      </c>
      <c r="S36" s="33">
        <f>IF('3. Cavablar (Xam Göstəricilər)'!S36=0,0,IF('3. Cavablar (Xam Göstəricilər)'!S36&lt;=2,ROUND(2*0.4,1),IF('3. Cavablar (Xam Göstəricilər)'!S36&lt;=5,ROUND(2*0.7,1),2)))</f>
        <v>0</v>
      </c>
    </row>
    <row r="37" spans="2:19" ht="7.5" customHeight="1" x14ac:dyDescent="0.3"/>
    <row r="38" spans="2:19" ht="21.75" customHeight="1" x14ac:dyDescent="0.3">
      <c r="B38" s="74" t="s">
        <v>181</v>
      </c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</row>
    <row r="39" spans="2:19" ht="19.5" customHeight="1" x14ac:dyDescent="0.3">
      <c r="B39" s="34" t="s">
        <v>10</v>
      </c>
      <c r="C39" s="35" t="s">
        <v>182</v>
      </c>
      <c r="D39" s="36">
        <v>15</v>
      </c>
      <c r="E39" s="37">
        <f t="shared" ref="E39:S39" si="0">E7+E8+E9+E10</f>
        <v>0</v>
      </c>
      <c r="F39" s="37">
        <f t="shared" si="0"/>
        <v>0</v>
      </c>
      <c r="G39" s="37">
        <f t="shared" si="0"/>
        <v>0</v>
      </c>
      <c r="H39" s="37">
        <f t="shared" si="0"/>
        <v>0</v>
      </c>
      <c r="I39" s="37">
        <f t="shared" si="0"/>
        <v>0</v>
      </c>
      <c r="J39" s="37">
        <f t="shared" si="0"/>
        <v>0</v>
      </c>
      <c r="K39" s="37">
        <f t="shared" si="0"/>
        <v>0</v>
      </c>
      <c r="L39" s="37">
        <f t="shared" si="0"/>
        <v>0</v>
      </c>
      <c r="M39" s="37">
        <f t="shared" si="0"/>
        <v>0</v>
      </c>
      <c r="N39" s="37">
        <f t="shared" si="0"/>
        <v>0</v>
      </c>
      <c r="O39" s="37">
        <f t="shared" si="0"/>
        <v>0</v>
      </c>
      <c r="P39" s="37">
        <f t="shared" si="0"/>
        <v>0</v>
      </c>
      <c r="Q39" s="37">
        <f t="shared" si="0"/>
        <v>0</v>
      </c>
      <c r="R39" s="37">
        <f t="shared" si="0"/>
        <v>0</v>
      </c>
      <c r="S39" s="37">
        <f t="shared" si="0"/>
        <v>0</v>
      </c>
    </row>
    <row r="40" spans="2:19" ht="19.5" customHeight="1" x14ac:dyDescent="0.3">
      <c r="B40" s="34" t="s">
        <v>22</v>
      </c>
      <c r="C40" s="35" t="s">
        <v>183</v>
      </c>
      <c r="D40" s="36">
        <v>20</v>
      </c>
      <c r="E40" s="37">
        <f t="shared" ref="E40:S40" si="1">E12+E13+E14+E15</f>
        <v>0</v>
      </c>
      <c r="F40" s="37">
        <f t="shared" si="1"/>
        <v>0</v>
      </c>
      <c r="G40" s="37">
        <f t="shared" si="1"/>
        <v>0</v>
      </c>
      <c r="H40" s="37">
        <f t="shared" si="1"/>
        <v>0</v>
      </c>
      <c r="I40" s="37">
        <f t="shared" si="1"/>
        <v>0</v>
      </c>
      <c r="J40" s="37">
        <f t="shared" si="1"/>
        <v>0</v>
      </c>
      <c r="K40" s="37">
        <f t="shared" si="1"/>
        <v>0</v>
      </c>
      <c r="L40" s="37">
        <f t="shared" si="1"/>
        <v>0</v>
      </c>
      <c r="M40" s="37">
        <f t="shared" si="1"/>
        <v>0</v>
      </c>
      <c r="N40" s="37">
        <f t="shared" si="1"/>
        <v>0</v>
      </c>
      <c r="O40" s="37">
        <f t="shared" si="1"/>
        <v>0</v>
      </c>
      <c r="P40" s="37">
        <f t="shared" si="1"/>
        <v>0</v>
      </c>
      <c r="Q40" s="37">
        <f t="shared" si="1"/>
        <v>0</v>
      </c>
      <c r="R40" s="37">
        <f t="shared" si="1"/>
        <v>0</v>
      </c>
      <c r="S40" s="37">
        <f t="shared" si="1"/>
        <v>0</v>
      </c>
    </row>
    <row r="41" spans="2:19" ht="19.5" customHeight="1" x14ac:dyDescent="0.3">
      <c r="B41" s="34" t="s">
        <v>33</v>
      </c>
      <c r="C41" s="35" t="s">
        <v>184</v>
      </c>
      <c r="D41" s="36">
        <v>25</v>
      </c>
      <c r="E41" s="37">
        <f t="shared" ref="E41:S41" si="2">E17+E18+E19+E20</f>
        <v>1</v>
      </c>
      <c r="F41" s="37">
        <f t="shared" si="2"/>
        <v>1</v>
      </c>
      <c r="G41" s="37">
        <f t="shared" si="2"/>
        <v>1</v>
      </c>
      <c r="H41" s="37">
        <f t="shared" si="2"/>
        <v>1</v>
      </c>
      <c r="I41" s="37">
        <f t="shared" si="2"/>
        <v>1</v>
      </c>
      <c r="J41" s="37">
        <f t="shared" si="2"/>
        <v>1</v>
      </c>
      <c r="K41" s="37">
        <f t="shared" si="2"/>
        <v>1</v>
      </c>
      <c r="L41" s="37">
        <f t="shared" si="2"/>
        <v>1</v>
      </c>
      <c r="M41" s="37">
        <f t="shared" si="2"/>
        <v>1</v>
      </c>
      <c r="N41" s="37">
        <f t="shared" si="2"/>
        <v>1</v>
      </c>
      <c r="O41" s="37">
        <f t="shared" si="2"/>
        <v>1</v>
      </c>
      <c r="P41" s="37">
        <f t="shared" si="2"/>
        <v>1</v>
      </c>
      <c r="Q41" s="37">
        <f t="shared" si="2"/>
        <v>1</v>
      </c>
      <c r="R41" s="37">
        <f t="shared" si="2"/>
        <v>1</v>
      </c>
      <c r="S41" s="37">
        <f t="shared" si="2"/>
        <v>1</v>
      </c>
    </row>
    <row r="42" spans="2:19" ht="19.5" customHeight="1" x14ac:dyDescent="0.3">
      <c r="B42" s="34" t="s">
        <v>44</v>
      </c>
      <c r="C42" s="35" t="s">
        <v>185</v>
      </c>
      <c r="D42" s="36">
        <v>10</v>
      </c>
      <c r="E42" s="37">
        <f t="shared" ref="E42:S42" si="3">E22+E23+E24</f>
        <v>0</v>
      </c>
      <c r="F42" s="37">
        <f t="shared" si="3"/>
        <v>0</v>
      </c>
      <c r="G42" s="37">
        <f t="shared" si="3"/>
        <v>0</v>
      </c>
      <c r="H42" s="37">
        <f t="shared" si="3"/>
        <v>0</v>
      </c>
      <c r="I42" s="37">
        <f t="shared" si="3"/>
        <v>0</v>
      </c>
      <c r="J42" s="37">
        <f t="shared" si="3"/>
        <v>0</v>
      </c>
      <c r="K42" s="37">
        <f t="shared" si="3"/>
        <v>0</v>
      </c>
      <c r="L42" s="37">
        <f t="shared" si="3"/>
        <v>0</v>
      </c>
      <c r="M42" s="37">
        <f t="shared" si="3"/>
        <v>0</v>
      </c>
      <c r="N42" s="37">
        <f t="shared" si="3"/>
        <v>0</v>
      </c>
      <c r="O42" s="37">
        <f t="shared" si="3"/>
        <v>0</v>
      </c>
      <c r="P42" s="37">
        <f t="shared" si="3"/>
        <v>0</v>
      </c>
      <c r="Q42" s="37">
        <f t="shared" si="3"/>
        <v>0</v>
      </c>
      <c r="R42" s="37">
        <f t="shared" si="3"/>
        <v>0</v>
      </c>
      <c r="S42" s="37">
        <f t="shared" si="3"/>
        <v>0</v>
      </c>
    </row>
    <row r="43" spans="2:19" ht="19.5" customHeight="1" x14ac:dyDescent="0.3">
      <c r="B43" s="34" t="s">
        <v>53</v>
      </c>
      <c r="C43" s="35" t="s">
        <v>186</v>
      </c>
      <c r="D43" s="36">
        <v>15</v>
      </c>
      <c r="E43" s="37">
        <f t="shared" ref="E43:S43" si="4">E26+E27+E28+E29</f>
        <v>0</v>
      </c>
      <c r="F43" s="37">
        <f t="shared" si="4"/>
        <v>0</v>
      </c>
      <c r="G43" s="37">
        <f t="shared" si="4"/>
        <v>0</v>
      </c>
      <c r="H43" s="37">
        <f t="shared" si="4"/>
        <v>0</v>
      </c>
      <c r="I43" s="37">
        <f t="shared" si="4"/>
        <v>0</v>
      </c>
      <c r="J43" s="37">
        <f t="shared" si="4"/>
        <v>0</v>
      </c>
      <c r="K43" s="37">
        <f t="shared" si="4"/>
        <v>0</v>
      </c>
      <c r="L43" s="37">
        <f t="shared" si="4"/>
        <v>0</v>
      </c>
      <c r="M43" s="37">
        <f t="shared" si="4"/>
        <v>0</v>
      </c>
      <c r="N43" s="37">
        <f t="shared" si="4"/>
        <v>0</v>
      </c>
      <c r="O43" s="37">
        <f t="shared" si="4"/>
        <v>0</v>
      </c>
      <c r="P43" s="37">
        <f t="shared" si="4"/>
        <v>0</v>
      </c>
      <c r="Q43" s="37">
        <f t="shared" si="4"/>
        <v>0</v>
      </c>
      <c r="R43" s="37">
        <f t="shared" si="4"/>
        <v>0</v>
      </c>
      <c r="S43" s="37">
        <f t="shared" si="4"/>
        <v>0</v>
      </c>
    </row>
    <row r="44" spans="2:19" ht="19.5" customHeight="1" x14ac:dyDescent="0.3">
      <c r="B44" s="34" t="s">
        <v>64</v>
      </c>
      <c r="C44" s="35" t="s">
        <v>187</v>
      </c>
      <c r="D44" s="36">
        <v>10</v>
      </c>
      <c r="E44" s="37">
        <f t="shared" ref="E44:S44" si="5">E31+E32+E33</f>
        <v>0</v>
      </c>
      <c r="F44" s="37">
        <f t="shared" si="5"/>
        <v>0</v>
      </c>
      <c r="G44" s="37">
        <f t="shared" si="5"/>
        <v>0</v>
      </c>
      <c r="H44" s="37">
        <f t="shared" si="5"/>
        <v>0</v>
      </c>
      <c r="I44" s="37">
        <f t="shared" si="5"/>
        <v>0</v>
      </c>
      <c r="J44" s="37">
        <f t="shared" si="5"/>
        <v>0</v>
      </c>
      <c r="K44" s="37">
        <f t="shared" si="5"/>
        <v>0</v>
      </c>
      <c r="L44" s="37">
        <f t="shared" si="5"/>
        <v>0</v>
      </c>
      <c r="M44" s="37">
        <f t="shared" si="5"/>
        <v>0</v>
      </c>
      <c r="N44" s="37">
        <f t="shared" si="5"/>
        <v>0</v>
      </c>
      <c r="O44" s="37">
        <f t="shared" si="5"/>
        <v>0</v>
      </c>
      <c r="P44" s="37">
        <f t="shared" si="5"/>
        <v>0</v>
      </c>
      <c r="Q44" s="37">
        <f t="shared" si="5"/>
        <v>0</v>
      </c>
      <c r="R44" s="37">
        <f t="shared" si="5"/>
        <v>0</v>
      </c>
      <c r="S44" s="37">
        <f t="shared" si="5"/>
        <v>0</v>
      </c>
    </row>
    <row r="45" spans="2:19" ht="19.5" customHeight="1" x14ac:dyDescent="0.3">
      <c r="B45" s="34" t="s">
        <v>73</v>
      </c>
      <c r="C45" s="35" t="s">
        <v>188</v>
      </c>
      <c r="D45" s="36">
        <v>5</v>
      </c>
      <c r="E45" s="37">
        <f t="shared" ref="E45:S45" si="6">E35+E36</f>
        <v>0</v>
      </c>
      <c r="F45" s="37">
        <f t="shared" si="6"/>
        <v>0</v>
      </c>
      <c r="G45" s="37">
        <f t="shared" si="6"/>
        <v>0</v>
      </c>
      <c r="H45" s="37">
        <f t="shared" si="6"/>
        <v>0</v>
      </c>
      <c r="I45" s="37">
        <f t="shared" si="6"/>
        <v>0</v>
      </c>
      <c r="J45" s="37">
        <f t="shared" si="6"/>
        <v>0</v>
      </c>
      <c r="K45" s="37">
        <f t="shared" si="6"/>
        <v>0</v>
      </c>
      <c r="L45" s="37">
        <f t="shared" si="6"/>
        <v>0</v>
      </c>
      <c r="M45" s="37">
        <f t="shared" si="6"/>
        <v>0</v>
      </c>
      <c r="N45" s="37">
        <f t="shared" si="6"/>
        <v>0</v>
      </c>
      <c r="O45" s="37">
        <f t="shared" si="6"/>
        <v>0</v>
      </c>
      <c r="P45" s="37">
        <f t="shared" si="6"/>
        <v>0</v>
      </c>
      <c r="Q45" s="37">
        <f t="shared" si="6"/>
        <v>0</v>
      </c>
      <c r="R45" s="37">
        <f t="shared" si="6"/>
        <v>0</v>
      </c>
      <c r="S45" s="37">
        <f t="shared" si="6"/>
        <v>0</v>
      </c>
    </row>
    <row r="46" spans="2:19" ht="25.5" customHeight="1" x14ac:dyDescent="0.3">
      <c r="B46" s="38" t="s">
        <v>189</v>
      </c>
      <c r="C46" s="39" t="s">
        <v>190</v>
      </c>
      <c r="D46" s="40">
        <v>100</v>
      </c>
      <c r="E46" s="41">
        <f t="shared" ref="E46:S46" si="7">E39+E40+E41+E42+E43+E44+E45</f>
        <v>1</v>
      </c>
      <c r="F46" s="41">
        <f t="shared" si="7"/>
        <v>1</v>
      </c>
      <c r="G46" s="41">
        <f t="shared" si="7"/>
        <v>1</v>
      </c>
      <c r="H46" s="41">
        <f t="shared" si="7"/>
        <v>1</v>
      </c>
      <c r="I46" s="41">
        <f t="shared" si="7"/>
        <v>1</v>
      </c>
      <c r="J46" s="41">
        <f t="shared" si="7"/>
        <v>1</v>
      </c>
      <c r="K46" s="41">
        <f t="shared" si="7"/>
        <v>1</v>
      </c>
      <c r="L46" s="41">
        <f t="shared" si="7"/>
        <v>1</v>
      </c>
      <c r="M46" s="41">
        <f t="shared" si="7"/>
        <v>1</v>
      </c>
      <c r="N46" s="41">
        <f t="shared" si="7"/>
        <v>1</v>
      </c>
      <c r="O46" s="41">
        <f t="shared" si="7"/>
        <v>1</v>
      </c>
      <c r="P46" s="41">
        <f t="shared" si="7"/>
        <v>1</v>
      </c>
      <c r="Q46" s="41">
        <f t="shared" si="7"/>
        <v>1</v>
      </c>
      <c r="R46" s="41">
        <f t="shared" si="7"/>
        <v>1</v>
      </c>
      <c r="S46" s="41">
        <f t="shared" si="7"/>
        <v>1</v>
      </c>
    </row>
    <row r="47" spans="2:19" ht="7.5" customHeight="1" x14ac:dyDescent="0.3"/>
    <row r="48" spans="2:19" ht="21.75" customHeight="1" x14ac:dyDescent="0.3">
      <c r="B48" s="42" t="s">
        <v>101</v>
      </c>
      <c r="C48" s="26" t="s">
        <v>191</v>
      </c>
      <c r="D48" s="43" t="s">
        <v>192</v>
      </c>
      <c r="E48" s="44" t="str">
        <f>IF(AND('3. Cavablar (Xam Göstəricilər)'!E7&gt;0,'3. Cavablar (Xam Göstəricilər)'!E10&gt;0,'3. Cavablar (Xam Göstəricilər)'!E31&gt;0),"Keçdi ✓","RƏDD ✗")</f>
        <v>RƏDD ✗</v>
      </c>
      <c r="F48" s="44" t="str">
        <f>IF(AND('3. Cavablar (Xam Göstəricilər)'!F7&gt;0,'3. Cavablar (Xam Göstəricilər)'!F10&gt;0,'3. Cavablar (Xam Göstəricilər)'!F31&gt;0),"Keçdi ✓","RƏDD ✗")</f>
        <v>RƏDD ✗</v>
      </c>
      <c r="G48" s="44" t="str">
        <f>IF(AND('3. Cavablar (Xam Göstəricilər)'!G7&gt;0,'3. Cavablar (Xam Göstəricilər)'!G10&gt;0,'3. Cavablar (Xam Göstəricilər)'!G31&gt;0),"Keçdi ✓","RƏDD ✗")</f>
        <v>RƏDD ✗</v>
      </c>
      <c r="H48" s="44" t="str">
        <f>IF(AND('3. Cavablar (Xam Göstəricilər)'!H7&gt;0,'3. Cavablar (Xam Göstəricilər)'!H10&gt;0,'3. Cavablar (Xam Göstəricilər)'!H31&gt;0),"Keçdi ✓","RƏDD ✗")</f>
        <v>RƏDD ✗</v>
      </c>
      <c r="I48" s="44" t="str">
        <f>IF(AND('3. Cavablar (Xam Göstəricilər)'!I7&gt;0,'3. Cavablar (Xam Göstəricilər)'!I10&gt;0,'3. Cavablar (Xam Göstəricilər)'!I31&gt;0),"Keçdi ✓","RƏDD ✗")</f>
        <v>RƏDD ✗</v>
      </c>
      <c r="J48" s="44" t="str">
        <f>IF(AND('3. Cavablar (Xam Göstəricilər)'!J7&gt;0,'3. Cavablar (Xam Göstəricilər)'!J10&gt;0,'3. Cavablar (Xam Göstəricilər)'!J31&gt;0),"Keçdi ✓","RƏDD ✗")</f>
        <v>RƏDD ✗</v>
      </c>
      <c r="K48" s="44" t="str">
        <f>IF(AND('3. Cavablar (Xam Göstəricilər)'!K7&gt;0,'3. Cavablar (Xam Göstəricilər)'!K10&gt;0,'3. Cavablar (Xam Göstəricilər)'!K31&gt;0),"Keçdi ✓","RƏDD ✗")</f>
        <v>RƏDD ✗</v>
      </c>
      <c r="L48" s="44" t="str">
        <f>IF(AND('3. Cavablar (Xam Göstəricilər)'!L7&gt;0,'3. Cavablar (Xam Göstəricilər)'!L10&gt;0,'3. Cavablar (Xam Göstəricilər)'!L31&gt;0),"Keçdi ✓","RƏDD ✗")</f>
        <v>RƏDD ✗</v>
      </c>
      <c r="M48" s="44" t="str">
        <f>IF(AND('3. Cavablar (Xam Göstəricilər)'!M7&gt;0,'3. Cavablar (Xam Göstəricilər)'!M10&gt;0,'3. Cavablar (Xam Göstəricilər)'!M31&gt;0),"Keçdi ✓","RƏDD ✗")</f>
        <v>RƏDD ✗</v>
      </c>
      <c r="N48" s="44" t="str">
        <f>IF(AND('3. Cavablar (Xam Göstəricilər)'!N7&gt;0,'3. Cavablar (Xam Göstəricilər)'!N10&gt;0,'3. Cavablar (Xam Göstəricilər)'!N31&gt;0),"Keçdi ✓","RƏDD ✗")</f>
        <v>RƏDD ✗</v>
      </c>
      <c r="O48" s="44" t="str">
        <f>IF(AND('3. Cavablar (Xam Göstəricilər)'!O7&gt;0,'3. Cavablar (Xam Göstəricilər)'!O10&gt;0,'3. Cavablar (Xam Göstəricilər)'!O31&gt;0),"Keçdi ✓","RƏDD ✗")</f>
        <v>RƏDD ✗</v>
      </c>
      <c r="P48" s="44" t="str">
        <f>IF(AND('3. Cavablar (Xam Göstəricilər)'!P7&gt;0,'3. Cavablar (Xam Göstəricilər)'!P10&gt;0,'3. Cavablar (Xam Göstəricilər)'!P31&gt;0),"Keçdi ✓","RƏDD ✗")</f>
        <v>RƏDD ✗</v>
      </c>
      <c r="Q48" s="44" t="str">
        <f>IF(AND('3. Cavablar (Xam Göstəricilər)'!Q7&gt;0,'3. Cavablar (Xam Göstəricilər)'!Q10&gt;0,'3. Cavablar (Xam Göstəricilər)'!Q31&gt;0),"Keçdi ✓","RƏDD ✗")</f>
        <v>RƏDD ✗</v>
      </c>
      <c r="R48" s="44" t="str">
        <f>IF(AND('3. Cavablar (Xam Göstəricilər)'!R7&gt;0,'3. Cavablar (Xam Göstəricilər)'!R10&gt;0,'3. Cavablar (Xam Göstəricilər)'!R31&gt;0),"Keçdi ✓","RƏDD ✗")</f>
        <v>RƏDD ✗</v>
      </c>
      <c r="S48" s="44" t="str">
        <f>IF(AND('3. Cavablar (Xam Göstəricilər)'!S7&gt;0,'3. Cavablar (Xam Göstəricilər)'!S10&gt;0,'3. Cavablar (Xam Göstəricilər)'!S31&gt;0),"Keçdi ✓","RƏDD ✗")</f>
        <v>RƏDD ✗</v>
      </c>
    </row>
    <row r="49" spans="2:19" s="55" customFormat="1" ht="27.75" customHeight="1" x14ac:dyDescent="0.3">
      <c r="B49" s="64" t="s">
        <v>193</v>
      </c>
      <c r="C49" s="65" t="s">
        <v>194</v>
      </c>
      <c r="D49" s="66" t="s">
        <v>192</v>
      </c>
      <c r="E49" s="67" t="str">
        <f t="shared" ref="E49:S49" si="8">IF(E48="RƏDD ✗","KO — RƏDD",IF(E46&gt;=90,"A — Əla (DƏVƏT)",IF(E46&gt;=80,"B — Yaxşı (DƏVƏT)",IF(E46&gt;=70,"C — Şərti DƏVƏT",IF(E46&gt;=60,"D — Zəif (RƏDD)","F — RƏDD")))))</f>
        <v>KO — RƏDD</v>
      </c>
      <c r="F49" s="67" t="str">
        <f t="shared" si="8"/>
        <v>KO — RƏDD</v>
      </c>
      <c r="G49" s="67" t="str">
        <f t="shared" si="8"/>
        <v>KO — RƏDD</v>
      </c>
      <c r="H49" s="67" t="str">
        <f t="shared" si="8"/>
        <v>KO — RƏDD</v>
      </c>
      <c r="I49" s="67" t="str">
        <f t="shared" si="8"/>
        <v>KO — RƏDD</v>
      </c>
      <c r="J49" s="67" t="str">
        <f t="shared" si="8"/>
        <v>KO — RƏDD</v>
      </c>
      <c r="K49" s="67" t="str">
        <f t="shared" si="8"/>
        <v>KO — RƏDD</v>
      </c>
      <c r="L49" s="67" t="str">
        <f t="shared" si="8"/>
        <v>KO — RƏDD</v>
      </c>
      <c r="M49" s="67" t="str">
        <f t="shared" si="8"/>
        <v>KO — RƏDD</v>
      </c>
      <c r="N49" s="67" t="str">
        <f t="shared" si="8"/>
        <v>KO — RƏDD</v>
      </c>
      <c r="O49" s="67" t="str">
        <f t="shared" si="8"/>
        <v>KO — RƏDD</v>
      </c>
      <c r="P49" s="67" t="str">
        <f t="shared" si="8"/>
        <v>KO — RƏDD</v>
      </c>
      <c r="Q49" s="67" t="str">
        <f t="shared" si="8"/>
        <v>KO — RƏDD</v>
      </c>
      <c r="R49" s="67" t="str">
        <f t="shared" si="8"/>
        <v>KO — RƏDD</v>
      </c>
      <c r="S49" s="67" t="str">
        <f t="shared" si="8"/>
        <v>KO — RƏDD</v>
      </c>
    </row>
  </sheetData>
  <mergeCells count="10">
    <mergeCell ref="B2:S2"/>
    <mergeCell ref="B3:S3"/>
    <mergeCell ref="B6:S6"/>
    <mergeCell ref="B11:S11"/>
    <mergeCell ref="B16:S16"/>
    <mergeCell ref="B21:S21"/>
    <mergeCell ref="B25:S25"/>
    <mergeCell ref="B30:S30"/>
    <mergeCell ref="B34:S34"/>
    <mergeCell ref="B38:S38"/>
  </mergeCells>
  <conditionalFormatting sqref="E48:S48">
    <cfRule type="expression" dxfId="12" priority="2">
      <formula>ISNUMBER(SEARCH("Keçdi",E48))</formula>
    </cfRule>
    <cfRule type="expression" dxfId="11" priority="3">
      <formula>ISNUMBER(SEARCH("RƏDD",E48))</formula>
    </cfRule>
  </conditionalFormatting>
  <conditionalFormatting sqref="E49:S49">
    <cfRule type="expression" dxfId="10" priority="4">
      <formula>ISNUMBER(SEARCH("A —",E49))</formula>
    </cfRule>
    <cfRule type="expression" dxfId="9" priority="5">
      <formula>ISNUMBER(SEARCH("B —",E49))</formula>
    </cfRule>
    <cfRule type="expression" dxfId="8" priority="6">
      <formula>ISNUMBER(SEARCH("C —",E49))</formula>
    </cfRule>
    <cfRule type="expression" dxfId="7" priority="7">
      <formula>ISNUMBER(SEARCH("D —",E49))</formula>
    </cfRule>
    <cfRule type="expression" dxfId="6" priority="8">
      <formula>OR(ISNUMBER(SEARCH("F —",E49)),ISNUMBER(SEARCH("KO",E49)))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Q33"/>
  <sheetViews>
    <sheetView showGridLines="0" zoomScaleNormal="100" workbookViewId="0">
      <selection activeCell="C6" sqref="C6"/>
    </sheetView>
  </sheetViews>
  <sheetFormatPr defaultColWidth="8.6640625" defaultRowHeight="14.4" x14ac:dyDescent="0.3"/>
  <cols>
    <col min="1" max="1" width="2" customWidth="1"/>
    <col min="2" max="2" width="28" customWidth="1"/>
    <col min="3" max="17" width="14" customWidth="1"/>
    <col min="18" max="18" width="2" customWidth="1"/>
  </cols>
  <sheetData>
    <row r="1" spans="2:17" ht="4.5" customHeight="1" x14ac:dyDescent="0.3"/>
    <row r="2" spans="2:17" ht="31.5" customHeight="1" x14ac:dyDescent="0.3">
      <c r="B2" s="89" t="s">
        <v>195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</row>
    <row r="3" spans="2:17" ht="18" customHeight="1" x14ac:dyDescent="0.3">
      <c r="B3" s="90" t="s">
        <v>196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</row>
    <row r="4" spans="2:17" ht="7.5" customHeight="1" x14ac:dyDescent="0.3"/>
    <row r="5" spans="2:17" ht="21.75" customHeight="1" x14ac:dyDescent="0.3">
      <c r="B5" s="45" t="s">
        <v>197</v>
      </c>
      <c r="C5" s="46" t="s">
        <v>107</v>
      </c>
      <c r="D5" s="46" t="s">
        <v>108</v>
      </c>
      <c r="E5" s="46" t="s">
        <v>109</v>
      </c>
      <c r="F5" s="46" t="s">
        <v>110</v>
      </c>
      <c r="G5" s="46" t="s">
        <v>111</v>
      </c>
      <c r="H5" s="46" t="s">
        <v>112</v>
      </c>
      <c r="I5" s="46" t="s">
        <v>113</v>
      </c>
      <c r="J5" s="46" t="s">
        <v>114</v>
      </c>
      <c r="K5" s="46" t="s">
        <v>115</v>
      </c>
      <c r="L5" s="46" t="s">
        <v>116</v>
      </c>
      <c r="M5" s="46" t="s">
        <v>117</v>
      </c>
      <c r="N5" s="46" t="s">
        <v>118</v>
      </c>
      <c r="O5" s="46" t="s">
        <v>119</v>
      </c>
      <c r="P5" s="46" t="s">
        <v>120</v>
      </c>
      <c r="Q5" s="46" t="s">
        <v>121</v>
      </c>
    </row>
    <row r="6" spans="2:17" s="55" customFormat="1" ht="31.8" customHeight="1" x14ac:dyDescent="0.3">
      <c r="B6" s="53" t="s">
        <v>198</v>
      </c>
      <c r="C6" s="54">
        <f>'2. İştirakçı Məlumatları'!C6</f>
        <v>0</v>
      </c>
      <c r="D6" s="54">
        <f>'2. İştirakçı Məlumatları'!D6</f>
        <v>0</v>
      </c>
      <c r="E6" s="54">
        <f>'2. İştirakçı Məlumatları'!E6</f>
        <v>0</v>
      </c>
      <c r="F6" s="54">
        <f>'2. İştirakçı Məlumatları'!F6</f>
        <v>0</v>
      </c>
      <c r="G6" s="54">
        <f>'2. İştirakçı Məlumatları'!G6</f>
        <v>0</v>
      </c>
      <c r="H6" s="54">
        <f>'2. İştirakçı Məlumatları'!H6</f>
        <v>0</v>
      </c>
      <c r="I6" s="54">
        <f>'2. İştirakçı Məlumatları'!I6</f>
        <v>0</v>
      </c>
      <c r="J6" s="54">
        <f>'2. İştirakçı Məlumatları'!J6</f>
        <v>0</v>
      </c>
      <c r="K6" s="54">
        <f>'2. İştirakçı Məlumatları'!K6</f>
        <v>0</v>
      </c>
      <c r="L6" s="54">
        <f>'2. İştirakçı Məlumatları'!L6</f>
        <v>0</v>
      </c>
      <c r="M6" s="54">
        <f>'2. İştirakçı Məlumatları'!M6</f>
        <v>0</v>
      </c>
      <c r="N6" s="54">
        <f>'2. İştirakçı Məlumatları'!N6</f>
        <v>0</v>
      </c>
      <c r="O6" s="54">
        <f>'2. İştirakçı Məlumatları'!O6</f>
        <v>0</v>
      </c>
      <c r="P6" s="54">
        <f>'2. İştirakçı Məlumatları'!P6</f>
        <v>0</v>
      </c>
      <c r="Q6" s="54">
        <f>'2. İştirakçı Məlumatları'!Q6</f>
        <v>0</v>
      </c>
    </row>
    <row r="7" spans="2:17" ht="19.5" customHeight="1" x14ac:dyDescent="0.3">
      <c r="B7" s="26" t="s">
        <v>124</v>
      </c>
      <c r="C7" s="47">
        <f>'2. İştirakçı Məlumatları'!C8</f>
        <v>0</v>
      </c>
      <c r="D7" s="47">
        <f>'2. İştirakçı Məlumatları'!D8</f>
        <v>0</v>
      </c>
      <c r="E7" s="47">
        <f>'2. İştirakçı Məlumatları'!E8</f>
        <v>0</v>
      </c>
      <c r="F7" s="47">
        <f>'2. İştirakçı Məlumatları'!F8</f>
        <v>0</v>
      </c>
      <c r="G7" s="47">
        <f>'2. İştirakçı Məlumatları'!G8</f>
        <v>0</v>
      </c>
      <c r="H7" s="47">
        <f>'2. İştirakçı Məlumatları'!H8</f>
        <v>0</v>
      </c>
      <c r="I7" s="47">
        <f>'2. İştirakçı Məlumatları'!I8</f>
        <v>0</v>
      </c>
      <c r="J7" s="47">
        <f>'2. İştirakçı Məlumatları'!J8</f>
        <v>0</v>
      </c>
      <c r="K7" s="47">
        <f>'2. İştirakçı Məlumatları'!K8</f>
        <v>0</v>
      </c>
      <c r="L7" s="47">
        <f>'2. İştirakçı Məlumatları'!L8</f>
        <v>0</v>
      </c>
      <c r="M7" s="47">
        <f>'2. İştirakçı Məlumatları'!M8</f>
        <v>0</v>
      </c>
      <c r="N7" s="47">
        <f>'2. İştirakçı Məlumatları'!N8</f>
        <v>0</v>
      </c>
      <c r="O7" s="47">
        <f>'2. İştirakçı Məlumatları'!O8</f>
        <v>0</v>
      </c>
      <c r="P7" s="47">
        <f>'2. İştirakçı Məlumatları'!P8</f>
        <v>0</v>
      </c>
      <c r="Q7" s="47">
        <f>'2. İştirakçı Məlumatları'!Q8</f>
        <v>0</v>
      </c>
    </row>
    <row r="8" spans="2:17" ht="19.5" customHeight="1" x14ac:dyDescent="0.3">
      <c r="B8" s="26" t="s">
        <v>131</v>
      </c>
      <c r="C8" s="47">
        <f>'2. İştirakçı Məlumatları'!C15</f>
        <v>0</v>
      </c>
      <c r="D8" s="47">
        <f>'2. İştirakçı Məlumatları'!D15</f>
        <v>0</v>
      </c>
      <c r="E8" s="47">
        <f>'2. İştirakçı Məlumatları'!E15</f>
        <v>0</v>
      </c>
      <c r="F8" s="47">
        <f>'2. İştirakçı Məlumatları'!F15</f>
        <v>0</v>
      </c>
      <c r="G8" s="47">
        <f>'2. İştirakçı Məlumatları'!G15</f>
        <v>0</v>
      </c>
      <c r="H8" s="47">
        <f>'2. İştirakçı Məlumatları'!H15</f>
        <v>0</v>
      </c>
      <c r="I8" s="47">
        <f>'2. İştirakçı Məlumatları'!I15</f>
        <v>0</v>
      </c>
      <c r="J8" s="47">
        <f>'2. İştirakçı Məlumatları'!J15</f>
        <v>0</v>
      </c>
      <c r="K8" s="47">
        <f>'2. İştirakçı Məlumatları'!K15</f>
        <v>0</v>
      </c>
      <c r="L8" s="47">
        <f>'2. İştirakçı Məlumatları'!L15</f>
        <v>0</v>
      </c>
      <c r="M8" s="47">
        <f>'2. İştirakçı Məlumatları'!M15</f>
        <v>0</v>
      </c>
      <c r="N8" s="47">
        <f>'2. İştirakçı Məlumatları'!N15</f>
        <v>0</v>
      </c>
      <c r="O8" s="47">
        <f>'2. İştirakçı Məlumatları'!O15</f>
        <v>0</v>
      </c>
      <c r="P8" s="47">
        <f>'2. İştirakçı Məlumatları'!P15</f>
        <v>0</v>
      </c>
      <c r="Q8" s="47">
        <f>'2. İştirakçı Məlumatları'!Q15</f>
        <v>0</v>
      </c>
    </row>
    <row r="9" spans="2:17" ht="19.5" customHeight="1" x14ac:dyDescent="0.3">
      <c r="B9" s="26" t="s">
        <v>199</v>
      </c>
      <c r="C9" s="48">
        <f>'2. İştirakçı Məlumatları'!C10</f>
        <v>0</v>
      </c>
      <c r="D9" s="48">
        <f>'2. İştirakçı Məlumatları'!D10</f>
        <v>0</v>
      </c>
      <c r="E9" s="48">
        <f>'2. İştirakçı Məlumatları'!E10</f>
        <v>0</v>
      </c>
      <c r="F9" s="48">
        <f>'2. İştirakçı Məlumatları'!F10</f>
        <v>0</v>
      </c>
      <c r="G9" s="48">
        <f>'2. İştirakçı Məlumatları'!G10</f>
        <v>0</v>
      </c>
      <c r="H9" s="48">
        <f>'2. İştirakçı Məlumatları'!H10</f>
        <v>0</v>
      </c>
      <c r="I9" s="48">
        <f>'2. İştirakçı Məlumatları'!I10</f>
        <v>0</v>
      </c>
      <c r="J9" s="48">
        <f>'2. İştirakçı Məlumatları'!J10</f>
        <v>0</v>
      </c>
      <c r="K9" s="48">
        <f>'2. İştirakçı Məlumatları'!K10</f>
        <v>0</v>
      </c>
      <c r="L9" s="48">
        <f>'2. İştirakçı Məlumatları'!L10</f>
        <v>0</v>
      </c>
      <c r="M9" s="48">
        <f>'2. İştirakçı Məlumatları'!M10</f>
        <v>0</v>
      </c>
      <c r="N9" s="48">
        <f>'2. İştirakçı Məlumatları'!N10</f>
        <v>0</v>
      </c>
      <c r="O9" s="48">
        <f>'2. İştirakçı Məlumatları'!O10</f>
        <v>0</v>
      </c>
      <c r="P9" s="48">
        <f>'2. İştirakçı Məlumatları'!P10</f>
        <v>0</v>
      </c>
      <c r="Q9" s="48">
        <f>'2. İştirakçı Məlumatları'!Q10</f>
        <v>0</v>
      </c>
    </row>
    <row r="10" spans="2:17" ht="19.5" customHeight="1" x14ac:dyDescent="0.3">
      <c r="B10" s="26" t="s">
        <v>200</v>
      </c>
      <c r="C10" s="48">
        <f>'2. İştirakçı Məlumatları'!C12</f>
        <v>0</v>
      </c>
      <c r="D10" s="48">
        <f>'2. İştirakçı Məlumatları'!D12</f>
        <v>0</v>
      </c>
      <c r="E10" s="48">
        <f>'2. İştirakçı Məlumatları'!E12</f>
        <v>0</v>
      </c>
      <c r="F10" s="48">
        <f>'2. İştirakçı Məlumatları'!F12</f>
        <v>0</v>
      </c>
      <c r="G10" s="48">
        <f>'2. İştirakçı Məlumatları'!G12</f>
        <v>0</v>
      </c>
      <c r="H10" s="48">
        <f>'2. İştirakçı Məlumatları'!H12</f>
        <v>0</v>
      </c>
      <c r="I10" s="48">
        <f>'2. İştirakçı Məlumatları'!I12</f>
        <v>0</v>
      </c>
      <c r="J10" s="48">
        <f>'2. İştirakçı Məlumatları'!J12</f>
        <v>0</v>
      </c>
      <c r="K10" s="48">
        <f>'2. İştirakçı Məlumatları'!K12</f>
        <v>0</v>
      </c>
      <c r="L10" s="48">
        <f>'2. İştirakçı Məlumatları'!L12</f>
        <v>0</v>
      </c>
      <c r="M10" s="48">
        <f>'2. İştirakçı Məlumatları'!M12</f>
        <v>0</v>
      </c>
      <c r="N10" s="48">
        <f>'2. İştirakçı Məlumatları'!N12</f>
        <v>0</v>
      </c>
      <c r="O10" s="48">
        <f>'2. İştirakçı Məlumatları'!O12</f>
        <v>0</v>
      </c>
      <c r="P10" s="48">
        <f>'2. İştirakçı Məlumatları'!P12</f>
        <v>0</v>
      </c>
      <c r="Q10" s="48">
        <f>'2. İştirakçı Məlumatları'!Q12</f>
        <v>0</v>
      </c>
    </row>
    <row r="11" spans="2:17" ht="6" customHeight="1" x14ac:dyDescent="0.3"/>
    <row r="12" spans="2:17" ht="19.5" customHeight="1" x14ac:dyDescent="0.3">
      <c r="B12" s="85" t="s">
        <v>201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</row>
    <row r="13" spans="2:17" ht="18" customHeight="1" x14ac:dyDescent="0.3">
      <c r="B13" s="27" t="s">
        <v>202</v>
      </c>
      <c r="C13" s="32">
        <f>'4. Bal Hesablaması'!E39</f>
        <v>0</v>
      </c>
      <c r="D13" s="32">
        <f>'4. Bal Hesablaması'!F39</f>
        <v>0</v>
      </c>
      <c r="E13" s="32">
        <f>'4. Bal Hesablaması'!G39</f>
        <v>0</v>
      </c>
      <c r="F13" s="32">
        <f>'4. Bal Hesablaması'!H39</f>
        <v>0</v>
      </c>
      <c r="G13" s="32">
        <f>'4. Bal Hesablaması'!I39</f>
        <v>0</v>
      </c>
      <c r="H13" s="32">
        <f>'4. Bal Hesablaması'!J39</f>
        <v>0</v>
      </c>
      <c r="I13" s="32">
        <f>'4. Bal Hesablaması'!K39</f>
        <v>0</v>
      </c>
      <c r="J13" s="32">
        <f>'4. Bal Hesablaması'!L39</f>
        <v>0</v>
      </c>
      <c r="K13" s="32">
        <f>'4. Bal Hesablaması'!M39</f>
        <v>0</v>
      </c>
      <c r="L13" s="32">
        <f>'4. Bal Hesablaması'!N39</f>
        <v>0</v>
      </c>
      <c r="M13" s="32">
        <f>'4. Bal Hesablaması'!O39</f>
        <v>0</v>
      </c>
      <c r="N13" s="32">
        <f>'4. Bal Hesablaması'!P39</f>
        <v>0</v>
      </c>
      <c r="O13" s="32">
        <f>'4. Bal Hesablaması'!Q39</f>
        <v>0</v>
      </c>
      <c r="P13" s="32">
        <f>'4. Bal Hesablaması'!R39</f>
        <v>0</v>
      </c>
      <c r="Q13" s="32">
        <f>'4. Bal Hesablaması'!S39</f>
        <v>0</v>
      </c>
    </row>
    <row r="14" spans="2:17" ht="18" customHeight="1" x14ac:dyDescent="0.3">
      <c r="B14" s="26" t="s">
        <v>203</v>
      </c>
      <c r="C14" s="33">
        <f>'4. Bal Hesablaması'!E40</f>
        <v>0</v>
      </c>
      <c r="D14" s="33">
        <f>'4. Bal Hesablaması'!F40</f>
        <v>0</v>
      </c>
      <c r="E14" s="33">
        <f>'4. Bal Hesablaması'!G40</f>
        <v>0</v>
      </c>
      <c r="F14" s="33">
        <f>'4. Bal Hesablaması'!H40</f>
        <v>0</v>
      </c>
      <c r="G14" s="33">
        <f>'4. Bal Hesablaması'!I40</f>
        <v>0</v>
      </c>
      <c r="H14" s="33">
        <f>'4. Bal Hesablaması'!J40</f>
        <v>0</v>
      </c>
      <c r="I14" s="33">
        <f>'4. Bal Hesablaması'!K40</f>
        <v>0</v>
      </c>
      <c r="J14" s="33">
        <f>'4. Bal Hesablaması'!L40</f>
        <v>0</v>
      </c>
      <c r="K14" s="33">
        <f>'4. Bal Hesablaması'!M40</f>
        <v>0</v>
      </c>
      <c r="L14" s="33">
        <f>'4. Bal Hesablaması'!N40</f>
        <v>0</v>
      </c>
      <c r="M14" s="33">
        <f>'4. Bal Hesablaması'!O40</f>
        <v>0</v>
      </c>
      <c r="N14" s="33">
        <f>'4. Bal Hesablaması'!P40</f>
        <v>0</v>
      </c>
      <c r="O14" s="33">
        <f>'4. Bal Hesablaması'!Q40</f>
        <v>0</v>
      </c>
      <c r="P14" s="33">
        <f>'4. Bal Hesablaması'!R40</f>
        <v>0</v>
      </c>
      <c r="Q14" s="33">
        <f>'4. Bal Hesablaması'!S40</f>
        <v>0</v>
      </c>
    </row>
    <row r="15" spans="2:17" ht="18" customHeight="1" x14ac:dyDescent="0.3">
      <c r="B15" s="27" t="s">
        <v>204</v>
      </c>
      <c r="C15" s="32">
        <f>'4. Bal Hesablaması'!E41</f>
        <v>1</v>
      </c>
      <c r="D15" s="32">
        <f>'4. Bal Hesablaması'!F41</f>
        <v>1</v>
      </c>
      <c r="E15" s="32">
        <f>'4. Bal Hesablaması'!G41</f>
        <v>1</v>
      </c>
      <c r="F15" s="32">
        <f>'4. Bal Hesablaması'!H41</f>
        <v>1</v>
      </c>
      <c r="G15" s="32">
        <f>'4. Bal Hesablaması'!I41</f>
        <v>1</v>
      </c>
      <c r="H15" s="32">
        <f>'4. Bal Hesablaması'!J41</f>
        <v>1</v>
      </c>
      <c r="I15" s="32">
        <f>'4. Bal Hesablaması'!K41</f>
        <v>1</v>
      </c>
      <c r="J15" s="32">
        <f>'4. Bal Hesablaması'!L41</f>
        <v>1</v>
      </c>
      <c r="K15" s="32">
        <f>'4. Bal Hesablaması'!M41</f>
        <v>1</v>
      </c>
      <c r="L15" s="32">
        <f>'4. Bal Hesablaması'!N41</f>
        <v>1</v>
      </c>
      <c r="M15" s="32">
        <f>'4. Bal Hesablaması'!O41</f>
        <v>1</v>
      </c>
      <c r="N15" s="32">
        <f>'4. Bal Hesablaması'!P41</f>
        <v>1</v>
      </c>
      <c r="O15" s="32">
        <f>'4. Bal Hesablaması'!Q41</f>
        <v>1</v>
      </c>
      <c r="P15" s="32">
        <f>'4. Bal Hesablaması'!R41</f>
        <v>1</v>
      </c>
      <c r="Q15" s="32">
        <f>'4. Bal Hesablaması'!S41</f>
        <v>1</v>
      </c>
    </row>
    <row r="16" spans="2:17" ht="18" customHeight="1" x14ac:dyDescent="0.3">
      <c r="B16" s="26" t="s">
        <v>205</v>
      </c>
      <c r="C16" s="33">
        <f>'4. Bal Hesablaması'!E42</f>
        <v>0</v>
      </c>
      <c r="D16" s="33">
        <f>'4. Bal Hesablaması'!F42</f>
        <v>0</v>
      </c>
      <c r="E16" s="33">
        <f>'4. Bal Hesablaması'!G42</f>
        <v>0</v>
      </c>
      <c r="F16" s="33">
        <f>'4. Bal Hesablaması'!H42</f>
        <v>0</v>
      </c>
      <c r="G16" s="33">
        <f>'4. Bal Hesablaması'!I42</f>
        <v>0</v>
      </c>
      <c r="H16" s="33">
        <f>'4. Bal Hesablaması'!J42</f>
        <v>0</v>
      </c>
      <c r="I16" s="33">
        <f>'4. Bal Hesablaması'!K42</f>
        <v>0</v>
      </c>
      <c r="J16" s="33">
        <f>'4. Bal Hesablaması'!L42</f>
        <v>0</v>
      </c>
      <c r="K16" s="33">
        <f>'4. Bal Hesablaması'!M42</f>
        <v>0</v>
      </c>
      <c r="L16" s="33">
        <f>'4. Bal Hesablaması'!N42</f>
        <v>0</v>
      </c>
      <c r="M16" s="33">
        <f>'4. Bal Hesablaması'!O42</f>
        <v>0</v>
      </c>
      <c r="N16" s="33">
        <f>'4. Bal Hesablaması'!P42</f>
        <v>0</v>
      </c>
      <c r="O16" s="33">
        <f>'4. Bal Hesablaması'!Q42</f>
        <v>0</v>
      </c>
      <c r="P16" s="33">
        <f>'4. Bal Hesablaması'!R42</f>
        <v>0</v>
      </c>
      <c r="Q16" s="33">
        <f>'4. Bal Hesablaması'!S42</f>
        <v>0</v>
      </c>
    </row>
    <row r="17" spans="2:17" ht="18" customHeight="1" x14ac:dyDescent="0.3">
      <c r="B17" s="27" t="s">
        <v>206</v>
      </c>
      <c r="C17" s="32">
        <f>'4. Bal Hesablaması'!E43</f>
        <v>0</v>
      </c>
      <c r="D17" s="32">
        <f>'4. Bal Hesablaması'!F43</f>
        <v>0</v>
      </c>
      <c r="E17" s="32">
        <f>'4. Bal Hesablaması'!G43</f>
        <v>0</v>
      </c>
      <c r="F17" s="32">
        <f>'4. Bal Hesablaması'!H43</f>
        <v>0</v>
      </c>
      <c r="G17" s="32">
        <f>'4. Bal Hesablaması'!I43</f>
        <v>0</v>
      </c>
      <c r="H17" s="32">
        <f>'4. Bal Hesablaması'!J43</f>
        <v>0</v>
      </c>
      <c r="I17" s="32">
        <f>'4. Bal Hesablaması'!K43</f>
        <v>0</v>
      </c>
      <c r="J17" s="32">
        <f>'4. Bal Hesablaması'!L43</f>
        <v>0</v>
      </c>
      <c r="K17" s="32">
        <f>'4. Bal Hesablaması'!M43</f>
        <v>0</v>
      </c>
      <c r="L17" s="32">
        <f>'4. Bal Hesablaması'!N43</f>
        <v>0</v>
      </c>
      <c r="M17" s="32">
        <f>'4. Bal Hesablaması'!O43</f>
        <v>0</v>
      </c>
      <c r="N17" s="32">
        <f>'4. Bal Hesablaması'!P43</f>
        <v>0</v>
      </c>
      <c r="O17" s="32">
        <f>'4. Bal Hesablaması'!Q43</f>
        <v>0</v>
      </c>
      <c r="P17" s="32">
        <f>'4. Bal Hesablaması'!R43</f>
        <v>0</v>
      </c>
      <c r="Q17" s="32">
        <f>'4. Bal Hesablaması'!S43</f>
        <v>0</v>
      </c>
    </row>
    <row r="18" spans="2:17" ht="18" customHeight="1" x14ac:dyDescent="0.3">
      <c r="B18" s="26" t="s">
        <v>207</v>
      </c>
      <c r="C18" s="33">
        <f>'4. Bal Hesablaması'!E44</f>
        <v>0</v>
      </c>
      <c r="D18" s="33">
        <f>'4. Bal Hesablaması'!F44</f>
        <v>0</v>
      </c>
      <c r="E18" s="33">
        <f>'4. Bal Hesablaması'!G44</f>
        <v>0</v>
      </c>
      <c r="F18" s="33">
        <f>'4. Bal Hesablaması'!H44</f>
        <v>0</v>
      </c>
      <c r="G18" s="33">
        <f>'4. Bal Hesablaması'!I44</f>
        <v>0</v>
      </c>
      <c r="H18" s="33">
        <f>'4. Bal Hesablaması'!J44</f>
        <v>0</v>
      </c>
      <c r="I18" s="33">
        <f>'4. Bal Hesablaması'!K44</f>
        <v>0</v>
      </c>
      <c r="J18" s="33">
        <f>'4. Bal Hesablaması'!L44</f>
        <v>0</v>
      </c>
      <c r="K18" s="33">
        <f>'4. Bal Hesablaması'!M44</f>
        <v>0</v>
      </c>
      <c r="L18" s="33">
        <f>'4. Bal Hesablaması'!N44</f>
        <v>0</v>
      </c>
      <c r="M18" s="33">
        <f>'4. Bal Hesablaması'!O44</f>
        <v>0</v>
      </c>
      <c r="N18" s="33">
        <f>'4. Bal Hesablaması'!P44</f>
        <v>0</v>
      </c>
      <c r="O18" s="33">
        <f>'4. Bal Hesablaması'!Q44</f>
        <v>0</v>
      </c>
      <c r="P18" s="33">
        <f>'4. Bal Hesablaması'!R44</f>
        <v>0</v>
      </c>
      <c r="Q18" s="33">
        <f>'4. Bal Hesablaması'!S44</f>
        <v>0</v>
      </c>
    </row>
    <row r="19" spans="2:17" ht="18" customHeight="1" x14ac:dyDescent="0.3">
      <c r="B19" s="27" t="s">
        <v>208</v>
      </c>
      <c r="C19" s="32">
        <f>'4. Bal Hesablaması'!E45</f>
        <v>0</v>
      </c>
      <c r="D19" s="32">
        <f>'4. Bal Hesablaması'!F45</f>
        <v>0</v>
      </c>
      <c r="E19" s="32">
        <f>'4. Bal Hesablaması'!G45</f>
        <v>0</v>
      </c>
      <c r="F19" s="32">
        <f>'4. Bal Hesablaması'!H45</f>
        <v>0</v>
      </c>
      <c r="G19" s="32">
        <f>'4. Bal Hesablaması'!I45</f>
        <v>0</v>
      </c>
      <c r="H19" s="32">
        <f>'4. Bal Hesablaması'!J45</f>
        <v>0</v>
      </c>
      <c r="I19" s="32">
        <f>'4. Bal Hesablaması'!K45</f>
        <v>0</v>
      </c>
      <c r="J19" s="32">
        <f>'4. Bal Hesablaması'!L45</f>
        <v>0</v>
      </c>
      <c r="K19" s="32">
        <f>'4. Bal Hesablaması'!M45</f>
        <v>0</v>
      </c>
      <c r="L19" s="32">
        <f>'4. Bal Hesablaması'!N45</f>
        <v>0</v>
      </c>
      <c r="M19" s="32">
        <f>'4. Bal Hesablaması'!O45</f>
        <v>0</v>
      </c>
      <c r="N19" s="32">
        <f>'4. Bal Hesablaması'!P45</f>
        <v>0</v>
      </c>
      <c r="O19" s="32">
        <f>'4. Bal Hesablaması'!Q45</f>
        <v>0</v>
      </c>
      <c r="P19" s="32">
        <f>'4. Bal Hesablaması'!R45</f>
        <v>0</v>
      </c>
      <c r="Q19" s="32">
        <f>'4. Bal Hesablaması'!S45</f>
        <v>0</v>
      </c>
    </row>
    <row r="20" spans="2:17" ht="6" customHeight="1" x14ac:dyDescent="0.3"/>
    <row r="21" spans="2:17" ht="27.75" customHeight="1" x14ac:dyDescent="0.3">
      <c r="B21" s="49" t="s">
        <v>209</v>
      </c>
      <c r="C21" s="50">
        <f>'4. Bal Hesablaması'!E46</f>
        <v>1</v>
      </c>
      <c r="D21" s="50">
        <f>'4. Bal Hesablaması'!F46</f>
        <v>1</v>
      </c>
      <c r="E21" s="50">
        <f>'4. Bal Hesablaması'!G46</f>
        <v>1</v>
      </c>
      <c r="F21" s="50">
        <f>'4. Bal Hesablaması'!H46</f>
        <v>1</v>
      </c>
      <c r="G21" s="50">
        <f>'4. Bal Hesablaması'!I46</f>
        <v>1</v>
      </c>
      <c r="H21" s="50">
        <f>'4. Bal Hesablaması'!J46</f>
        <v>1</v>
      </c>
      <c r="I21" s="50">
        <f>'4. Bal Hesablaması'!K46</f>
        <v>1</v>
      </c>
      <c r="J21" s="50">
        <f>'4. Bal Hesablaması'!L46</f>
        <v>1</v>
      </c>
      <c r="K21" s="50">
        <f>'4. Bal Hesablaması'!M46</f>
        <v>1</v>
      </c>
      <c r="L21" s="50">
        <f>'4. Bal Hesablaması'!N46</f>
        <v>1</v>
      </c>
      <c r="M21" s="50">
        <f>'4. Bal Hesablaması'!O46</f>
        <v>1</v>
      </c>
      <c r="N21" s="50">
        <f>'4. Bal Hesablaması'!P46</f>
        <v>1</v>
      </c>
      <c r="O21" s="50">
        <f>'4. Bal Hesablaması'!Q46</f>
        <v>1</v>
      </c>
      <c r="P21" s="50">
        <f>'4. Bal Hesablaması'!R46</f>
        <v>1</v>
      </c>
      <c r="Q21" s="50">
        <f>'4. Bal Hesablaması'!S46</f>
        <v>1</v>
      </c>
    </row>
    <row r="22" spans="2:17" ht="19.5" customHeight="1" x14ac:dyDescent="0.3">
      <c r="B22" s="51" t="s">
        <v>210</v>
      </c>
      <c r="C22" s="44" t="str">
        <f>'4. Bal Hesablaması'!E48</f>
        <v>RƏDD ✗</v>
      </c>
      <c r="D22" s="44" t="str">
        <f>'4. Bal Hesablaması'!F48</f>
        <v>RƏDD ✗</v>
      </c>
      <c r="E22" s="44" t="str">
        <f>'4. Bal Hesablaması'!G48</f>
        <v>RƏDD ✗</v>
      </c>
      <c r="F22" s="44" t="str">
        <f>'4. Bal Hesablaması'!H48</f>
        <v>RƏDD ✗</v>
      </c>
      <c r="G22" s="44" t="str">
        <f>'4. Bal Hesablaması'!I48</f>
        <v>RƏDD ✗</v>
      </c>
      <c r="H22" s="44" t="str">
        <f>'4. Bal Hesablaması'!J48</f>
        <v>RƏDD ✗</v>
      </c>
      <c r="I22" s="44" t="str">
        <f>'4. Bal Hesablaması'!K48</f>
        <v>RƏDD ✗</v>
      </c>
      <c r="J22" s="44" t="str">
        <f>'4. Bal Hesablaması'!L48</f>
        <v>RƏDD ✗</v>
      </c>
      <c r="K22" s="44" t="str">
        <f>'4. Bal Hesablaması'!M48</f>
        <v>RƏDD ✗</v>
      </c>
      <c r="L22" s="44" t="str">
        <f>'4. Bal Hesablaması'!N48</f>
        <v>RƏDD ✗</v>
      </c>
      <c r="M22" s="44" t="str">
        <f>'4. Bal Hesablaması'!O48</f>
        <v>RƏDD ✗</v>
      </c>
      <c r="N22" s="44" t="str">
        <f>'4. Bal Hesablaması'!P48</f>
        <v>RƏDD ✗</v>
      </c>
      <c r="O22" s="44" t="str">
        <f>'4. Bal Hesablaması'!Q48</f>
        <v>RƏDD ✗</v>
      </c>
      <c r="P22" s="44" t="str">
        <f>'4. Bal Hesablaması'!R48</f>
        <v>RƏDD ✗</v>
      </c>
      <c r="Q22" s="44" t="str">
        <f>'4. Bal Hesablaması'!S48</f>
        <v>RƏDD ✗</v>
      </c>
    </row>
    <row r="23" spans="2:17" s="55" customFormat="1" ht="30" customHeight="1" x14ac:dyDescent="0.3">
      <c r="B23" s="65" t="s">
        <v>211</v>
      </c>
      <c r="C23" s="68" t="str">
        <f>'4. Bal Hesablaması'!E49</f>
        <v>KO — RƏDD</v>
      </c>
      <c r="D23" s="68" t="str">
        <f>'4. Bal Hesablaması'!F49</f>
        <v>KO — RƏDD</v>
      </c>
      <c r="E23" s="68" t="str">
        <f>'4. Bal Hesablaması'!G49</f>
        <v>KO — RƏDD</v>
      </c>
      <c r="F23" s="68" t="str">
        <f>'4. Bal Hesablaması'!H49</f>
        <v>KO — RƏDD</v>
      </c>
      <c r="G23" s="68" t="str">
        <f>'4. Bal Hesablaması'!I49</f>
        <v>KO — RƏDD</v>
      </c>
      <c r="H23" s="68" t="str">
        <f>'4. Bal Hesablaması'!J49</f>
        <v>KO — RƏDD</v>
      </c>
      <c r="I23" s="68" t="str">
        <f>'4. Bal Hesablaması'!K49</f>
        <v>KO — RƏDD</v>
      </c>
      <c r="J23" s="68" t="str">
        <f>'4. Bal Hesablaması'!L49</f>
        <v>KO — RƏDD</v>
      </c>
      <c r="K23" s="68" t="str">
        <f>'4. Bal Hesablaması'!M49</f>
        <v>KO — RƏDD</v>
      </c>
      <c r="L23" s="68" t="str">
        <f>'4. Bal Hesablaması'!N49</f>
        <v>KO — RƏDD</v>
      </c>
      <c r="M23" s="68" t="str">
        <f>'4. Bal Hesablaması'!O49</f>
        <v>KO — RƏDD</v>
      </c>
      <c r="N23" s="68" t="str">
        <f>'4. Bal Hesablaması'!P49</f>
        <v>KO — RƏDD</v>
      </c>
      <c r="O23" s="68" t="str">
        <f>'4. Bal Hesablaması'!Q49</f>
        <v>KO — RƏDD</v>
      </c>
      <c r="P23" s="68" t="str">
        <f>'4. Bal Hesablaması'!R49</f>
        <v>KO — RƏDD</v>
      </c>
      <c r="Q23" s="68" t="str">
        <f>'4. Bal Hesablaması'!S49</f>
        <v>KO — RƏDD</v>
      </c>
    </row>
    <row r="24" spans="2:17" ht="7.5" customHeight="1" x14ac:dyDescent="0.3"/>
    <row r="25" spans="2:17" ht="6" customHeight="1" x14ac:dyDescent="0.3"/>
    <row r="26" spans="2:17" ht="19.5" customHeight="1" x14ac:dyDescent="0.3">
      <c r="B26" s="82" t="s">
        <v>212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</row>
    <row r="27" spans="2:17" ht="19.5" customHeight="1" x14ac:dyDescent="0.3">
      <c r="B27" s="91" t="s">
        <v>213</v>
      </c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</row>
    <row r="28" spans="2:17" ht="19.5" customHeight="1" x14ac:dyDescent="0.3"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/>
    </row>
    <row r="29" spans="2:17" ht="19.5" customHeight="1" x14ac:dyDescent="0.3"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</row>
    <row r="30" spans="2:17" ht="19.5" customHeight="1" x14ac:dyDescent="0.3"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</row>
    <row r="31" spans="2:17" ht="9.75" customHeight="1" x14ac:dyDescent="0.3"/>
    <row r="32" spans="2:17" ht="19.5" customHeight="1" x14ac:dyDescent="0.3">
      <c r="B32" s="87" t="s">
        <v>214</v>
      </c>
      <c r="C32" s="87"/>
      <c r="D32" s="87"/>
      <c r="E32" s="87"/>
      <c r="F32" s="87"/>
      <c r="G32" s="87"/>
      <c r="H32" s="87"/>
      <c r="I32" s="87"/>
      <c r="J32" s="87" t="s">
        <v>215</v>
      </c>
      <c r="K32" s="87"/>
      <c r="L32" s="87"/>
      <c r="M32" s="87"/>
      <c r="N32" s="87"/>
      <c r="O32" s="87"/>
      <c r="P32" s="87"/>
      <c r="Q32" s="87"/>
    </row>
    <row r="33" spans="2:17" ht="31.5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</row>
  </sheetData>
  <mergeCells count="9">
    <mergeCell ref="B32:I32"/>
    <mergeCell ref="J32:Q32"/>
    <mergeCell ref="B33:I33"/>
    <mergeCell ref="J33:Q33"/>
    <mergeCell ref="B2:Q2"/>
    <mergeCell ref="B3:Q3"/>
    <mergeCell ref="B12:Q12"/>
    <mergeCell ref="B26:Q26"/>
    <mergeCell ref="B27:Q30"/>
  </mergeCells>
  <conditionalFormatting sqref="C21:Q21">
    <cfRule type="colorScale" priority="2">
      <colorScale>
        <cfvo type="num" val="0"/>
        <cfvo type="num" val="70"/>
        <cfvo type="num" val="100"/>
        <color rgb="FFFCE4D6"/>
        <color rgb="FFFFF2CC"/>
        <color rgb="FFE2EFDA"/>
      </colorScale>
    </cfRule>
  </conditionalFormatting>
  <conditionalFormatting sqref="C22:Q22">
    <cfRule type="expression" dxfId="5" priority="3">
      <formula>ISNUMBER(SEARCH("Keçdi",C22))</formula>
    </cfRule>
    <cfRule type="expression" dxfId="4" priority="4">
      <formula>ISNUMBER(SEARCH("RƏDD",C22))</formula>
    </cfRule>
  </conditionalFormatting>
  <conditionalFormatting sqref="C23:Q23">
    <cfRule type="expression" dxfId="3" priority="5">
      <formula>ISNUMBER(SEARCH("A —",C23))</formula>
    </cfRule>
    <cfRule type="expression" dxfId="2" priority="6">
      <formula>ISNUMBER(SEARCH("B —",C23))</formula>
    </cfRule>
    <cfRule type="expression" dxfId="1" priority="7">
      <formula>ISNUMBER(SEARCH("C —",C23))</formula>
    </cfRule>
    <cfRule type="expression" dxfId="0" priority="8">
      <formula>OR(ISNUMBER(SEARCH("D —",C23)),ISNUMBER(SEARCH("F —",C23)),ISNUMBER(SEARCH("KO",C23)))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Bal Sxemi</vt:lpstr>
      <vt:lpstr>2. İştirakçı Məlumatları</vt:lpstr>
      <vt:lpstr>3. Cavablar (Xam Göstəricilər)</vt:lpstr>
      <vt:lpstr>4. Bal Hesablaması</vt:lpstr>
      <vt:lpstr>5. Nəticə Xülasəsi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 Mammadov</cp:lastModifiedBy>
  <cp:revision>0</cp:revision>
  <dcterms:created xsi:type="dcterms:W3CDTF">2026-04-20T07:49:03Z</dcterms:created>
  <dcterms:modified xsi:type="dcterms:W3CDTF">2026-08-24T17:07:55Z</dcterms:modified>
  <dc:language>en-US</dc:language>
</cp:coreProperties>
</file>