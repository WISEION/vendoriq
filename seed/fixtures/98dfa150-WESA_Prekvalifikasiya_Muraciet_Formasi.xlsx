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Nadir M\Desktop\"/>
    </mc:Choice>
  </mc:AlternateContent>
  <xr:revisionPtr revIDLastSave="0" documentId="13_ncr:1_{5B2DE919-B47E-4AD7-9641-1FB05B008BF9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0. Üz Səhifə" sheetId="1" r:id="rId1"/>
    <sheet name="1. Təlimat" sheetId="2" r:id="rId2"/>
    <sheet name="2. A. Şirkət Profili" sheetId="3" r:id="rId3"/>
    <sheet name="3. B. Maliyyə" sheetId="4" r:id="rId4"/>
    <sheet name="4. C. Texniki Təcrübə" sheetId="5" r:id="rId5"/>
    <sheet name="5. D. Maddi-Texniki Baza" sheetId="6" r:id="rId6"/>
    <sheet name="6. E. Kadr Resursları" sheetId="7" r:id="rId7"/>
    <sheet name="7. F. HSE və Keyfiyyət" sheetId="8" r:id="rId8"/>
    <sheet name="8. G. Sığorta və Referanslar" sheetId="9" r:id="rId9"/>
    <sheet name="9. Sənəd Siyahısı" sheetId="10" r:id="rId10"/>
    <sheet name="10. Bəyannamə və İmza" sheetId="11" r:id="rId11"/>
  </sheets>
  <definedNames>
    <definedName name="_xlnm.Print_Area" localSheetId="0">'0. Üz Səhifə'!$A$1:$D$40</definedName>
    <definedName name="_xlnm.Print_Area" localSheetId="1">'1. Təlimat'!$A$1:$D$36</definedName>
    <definedName name="_xlnm.Print_Area" localSheetId="10">'10. Bəyannamə və İmza'!$A$1:$D$24</definedName>
    <definedName name="_xlnm.Print_Area" localSheetId="2">'2. A. Şirkət Profili'!$A$1:$F$28</definedName>
    <definedName name="_xlnm.Print_Area" localSheetId="3">'3. B. Maliyyə'!$A$1:$F$22</definedName>
    <definedName name="_xlnm.Print_Area" localSheetId="4">'4. C. Texniki Təcrübə'!$B$1:$I$34</definedName>
    <definedName name="_xlnm.Print_Area" localSheetId="5">'5. D. Maddi-Texniki Baza'!$A$1:$F$23</definedName>
    <definedName name="_xlnm.Print_Area" localSheetId="6">'6. E. Kadr Resursları'!$A$1:$F$27</definedName>
    <definedName name="_xlnm.Print_Area" localSheetId="7">'7. F. HSE və Keyfiyyət'!$A$1:$F$26</definedName>
    <definedName name="_xlnm.Print_Area" localSheetId="8">'8. G. Sığorta və Referanslar'!$A$1:$F$25</definedName>
    <definedName name="_xlnm.Print_Area" localSheetId="9">'9. Sənəd Siyahısı'!$A$1:$F$46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11" l="1"/>
  <c r="D15" i="11"/>
  <c r="E46" i="10"/>
  <c r="D46" i="10"/>
  <c r="E25" i="9"/>
  <c r="E29" i="5"/>
  <c r="I18" i="5"/>
  <c r="E18" i="5"/>
  <c r="E16" i="4"/>
  <c r="E11" i="4"/>
  <c r="C27" i="1"/>
  <c r="C26" i="1"/>
  <c r="C25" i="1"/>
  <c r="C24" i="1"/>
  <c r="C23" i="1"/>
  <c r="C22" i="1"/>
  <c r="C21" i="1"/>
  <c r="C20" i="1"/>
  <c r="C17" i="1"/>
</calcChain>
</file>

<file path=xl/sharedStrings.xml><?xml version="1.0" encoding="utf-8"?>
<sst xmlns="http://schemas.openxmlformats.org/spreadsheetml/2006/main" count="880" uniqueCount="549">
  <si>
    <t>PREKVALİFİKASİYA MÜRACİƏT FORMASI</t>
  </si>
  <si>
    <t>Tikinti və Quraşdırma İşləri üzrə Subpodratçı Seçimi</t>
  </si>
  <si>
    <t xml:space="preserve">  FORMANIN MƏLUMATLARI</t>
  </si>
  <si>
    <t>Layihənin Adı:</t>
  </si>
  <si>
    <t>Gənclik Bahar Residence</t>
  </si>
  <si>
    <t>Layihə Kodu / TQS Nömrəsi:</t>
  </si>
  <si>
    <t>Sifarişçi Şirkət:</t>
  </si>
  <si>
    <t>"Uni Ko" QSC</t>
  </si>
  <si>
    <t>Əlaqə Şəxsi (Sifarişçidən):</t>
  </si>
  <si>
    <t>Əli Məmmədov</t>
  </si>
  <si>
    <t>Əlaqə Telefon / E-poçt:</t>
  </si>
  <si>
    <t>(+994 51) 277 42 77</t>
  </si>
  <si>
    <t>Forma Göndərilmə Tarixi:</t>
  </si>
  <si>
    <t>Formanın Son Təqdim Tarixi:</t>
  </si>
  <si>
    <t>28.04.2026 18.00</t>
  </si>
  <si>
    <t>İştirakçı Kodu:</t>
  </si>
  <si>
    <t xml:space="preserve">  İŞTİRAKÇININ ƏSAS MƏLUMATLARI  (təkrarlanır, asanlıq üçün) (Formula ilə avtomatik daxil olunacaq)</t>
  </si>
  <si>
    <t>Şirkətin Tam Adı:</t>
  </si>
  <si>
    <t>VÖEN:</t>
  </si>
  <si>
    <t>Qeydiyyat İli:</t>
  </si>
  <si>
    <t>Ünvan:</t>
  </si>
  <si>
    <t>Əlaqə Şəxsi:</t>
  </si>
  <si>
    <t>Vəzifə:</t>
  </si>
  <si>
    <t>Telefon:</t>
  </si>
  <si>
    <t>E-poçt:</t>
  </si>
  <si>
    <t xml:space="preserve">  VACİB QEYD</t>
  </si>
  <si>
    <t>• Bu forma 11 bölmədən ibarətdir. Hər bölmə ayrı vərəqədə yerləşir.
• Sarı (⬛) xanaları doldurun. Məlumatın yanında F sütununda sənəd kodu göstərilib.
• Bütün sənədləri '9. Sənəd Siyahısı' vərəqəsindəki cədvələ uyğun hazırlayın.
• Forma Excel fayl + Sənədlər PDF paketi kimi təqdim olunmalıdır.
• Son təqdim tarixindən sonra müraciətlər qəbul edilmir.</t>
  </si>
  <si>
    <t xml:space="preserve">  TƏQDİM ETMƏ ÜNVANI</t>
  </si>
  <si>
    <t>ali.mammadov@unico.az</t>
  </si>
  <si>
    <t>Əlaqə Telefon:</t>
  </si>
  <si>
    <t>Bakı şəhəri, İzzət Orucova küç. 1. "Uni Ko" QSC binası, Kommersiya şöb.</t>
  </si>
  <si>
    <t>Təqdim Forması:</t>
  </si>
  <si>
    <t>E-poçt + İmza / Möhürlənmiş və çap edilmiş nüsxə</t>
  </si>
  <si>
    <t>TƏLİMAT  —  Formanın Doldurulması Qaydası</t>
  </si>
  <si>
    <t>Bu formanı doldurmadan əvvəl aşağıdakı təlimatları diqqətlə oxuyun</t>
  </si>
  <si>
    <t xml:space="preserve">  A.  FORMANIN QURULUŞU</t>
  </si>
  <si>
    <t>0</t>
  </si>
  <si>
    <t>Üz Səhifə</t>
  </si>
  <si>
    <t>Layihə və şirkət məlumatları. Əvvəl bunu doldurun.</t>
  </si>
  <si>
    <t>1</t>
  </si>
  <si>
    <t>Təlimat</t>
  </si>
  <si>
    <t>Bu vərəqə — doldurma qaydaları və sənəd siyahısı.</t>
  </si>
  <si>
    <t>2</t>
  </si>
  <si>
    <t>A. Şirkət Profili</t>
  </si>
  <si>
    <t>Şirkətin hüquqi statusu, VÖEN, lisenziya və ünvan.</t>
  </si>
  <si>
    <t>3</t>
  </si>
  <si>
    <t>B. Maliyyə</t>
  </si>
  <si>
    <t>Son 3 ilin dövriyyə, kapital, bank və audit məlumatları.</t>
  </si>
  <si>
    <t>4</t>
  </si>
  <si>
    <t>C. Texniki Təcrübə</t>
  </si>
  <si>
    <t>Keçmiş və cari tikinti layihələri.</t>
  </si>
  <si>
    <t>5</t>
  </si>
  <si>
    <t>D. Maddi-Texniki Baza</t>
  </si>
  <si>
    <t>Ofis, avadanlıq, nəqliyyat.</t>
  </si>
  <si>
    <t>6</t>
  </si>
  <si>
    <t>E. Kadr Resursları</t>
  </si>
  <si>
    <t>Heyət sayı, ixtisaslar, subpodratçı bazası.</t>
  </si>
  <si>
    <t>7</t>
  </si>
  <si>
    <t>F. İSG və Keyfiyyət</t>
  </si>
  <si>
    <t>Əməyin mühafizəsi, ISO sertifikatlar, bədbəxt hadisə.</t>
  </si>
  <si>
    <t>8</t>
  </si>
  <si>
    <t>G. Sığorta və Referanslar</t>
  </si>
  <si>
    <t>Məsuliyyət sığortası, müştəri referansları.</t>
  </si>
  <si>
    <t>9</t>
  </si>
  <si>
    <t>Sənəd Siyahısı</t>
  </si>
  <si>
    <t>Təqdim ediləcək bütün sənədlərin kodlu siyahısı.</t>
  </si>
  <si>
    <t>10</t>
  </si>
  <si>
    <t>Bəyannamə və İmza</t>
  </si>
  <si>
    <t>Rəhbərin təsdiqi və möhürü.</t>
  </si>
  <si>
    <t xml:space="preserve">  B.  XANA RƏNGLƏRİ</t>
  </si>
  <si>
    <t>⬛ SARI</t>
  </si>
  <si>
    <t>Sizin doldurmalı olduğunuz xanalar — cavab və ya rəqəm.</t>
  </si>
  <si>
    <t>⬛ BƏNÖVŞƏYİ</t>
  </si>
  <si>
    <t>Təqdim etməli olduğunuz sənədin kodu (sütun F).</t>
  </si>
  <si>
    <t>⬛ BOZ</t>
  </si>
  <si>
    <t>Məlumat xanası — dəyişdirməyin.</t>
  </si>
  <si>
    <t>⬛ AĞ</t>
  </si>
  <si>
    <t>Avtomatik hesablanan və ya doldurulan xanalar.</t>
  </si>
  <si>
    <t>⬛ QIRMIZI</t>
  </si>
  <si>
    <t>MƏCBURİ sahələr — boş buraxa bilməzsiniz.</t>
  </si>
  <si>
    <t xml:space="preserve">  C.  DOLDURMA QAYDALARI</t>
  </si>
  <si>
    <t>Üz Səhifəni doldurun</t>
  </si>
  <si>
    <t>Şirkət adı, VÖEN, əlaqə məlumatları — bu məlumatlar sonrakı vərəqələrdə avtomatik görünəcək.</t>
  </si>
  <si>
    <t>A-G bölmələrini sıra ilə doldurun</t>
  </si>
  <si>
    <t>Hər bölmənin öz vərəqəsi var. Sualları oxuyun və sarı xanalara cavab yazın.</t>
  </si>
  <si>
    <t>AZN məbləğləri olduğu kimi yazın</t>
  </si>
  <si>
    <t>Misal üçün: 2500000 (nöqtə və ya vergül qoymayın, Excel avtomatik formatlayacaq).</t>
  </si>
  <si>
    <t>'Var/Yoxdur' suallarına dropdown-dan seçin</t>
  </si>
  <si>
    <t>Xana üzərinə klikləyin və açılan siyahıdan seçim edin.</t>
  </si>
  <si>
    <t>Tarix formatı: gün.ay.il</t>
  </si>
  <si>
    <t>Misal: 15.03.2024 şəklində yazın.</t>
  </si>
  <si>
    <t>Sənədləri F sütununa uyğun hazırlayın</t>
  </si>
  <si>
    <t>F sütununda hər sualın yanında sənəd kodu var (məs. A-01, B-03). Bu sənədləri PDF şəklində ayrıca qovluqda təqdim edin.</t>
  </si>
  <si>
    <t>Bəyannaməni imzalayın</t>
  </si>
  <si>
    <t>Son vərəqədə şirkət rəhbərinin imzası və möhürü tələb olunur.</t>
  </si>
  <si>
    <t>Formanı göndərin</t>
  </si>
  <si>
    <t>Excel faylı + bütün PDF sənədləri tek arxiv (ZIP) şəklində göstərilən e-poçta göndərin.</t>
  </si>
  <si>
    <t>⚠  DİQQƏT: Natamam doldurulmuş və ya sənəd paketi natamam olan müraciətlər avtomatik RƏDD ediləcəkdir. Məlumatın dəqiqliyinə diqqət yetirin — yanlış məlumat üçün şirkət məsuliyyət daşıyır.</t>
  </si>
  <si>
    <t>A.  ŞİRKƏT PROFİLİ VƏ HÜQUQİ STATUS</t>
  </si>
  <si>
    <t>Şirkətinizin əsas məlumatları, hüquqi uyğunluğu və əlaqə detalları</t>
  </si>
  <si>
    <t>⚠  Sarı xanaları doldurun.  |  Sütun F-də hansı sənədi əlavə etməli olduğunuz göstərilir.</t>
  </si>
  <si>
    <t>№</t>
  </si>
  <si>
    <t>Sual / Göstərici</t>
  </si>
  <si>
    <t>Ölçü Vahidi
/ Format</t>
  </si>
  <si>
    <t>CAVAB</t>
  </si>
  <si>
    <t>Təqdim edilmiş
sənəd</t>
  </si>
  <si>
    <t>A.1</t>
  </si>
  <si>
    <t>Şirkətin tam rəsmi adı</t>
  </si>
  <si>
    <t>Mətn</t>
  </si>
  <si>
    <t>VVESA MMC</t>
  </si>
  <si>
    <t>A-01</t>
  </si>
  <si>
    <t>A.2</t>
  </si>
  <si>
    <t>Ticarət reyestr nömrəsi</t>
  </si>
  <si>
    <t>Rəqəm</t>
  </si>
  <si>
    <t>3-21-2-2-1/2-28732/2026</t>
  </si>
  <si>
    <t>A-02</t>
  </si>
  <si>
    <t>A.3</t>
  </si>
  <si>
    <t>VÖEN (Vergi ödəyicisi eyniləşdirmə nömrəsi)</t>
  </si>
  <si>
    <t>10 rəqəm</t>
  </si>
  <si>
    <t>1003915341</t>
  </si>
  <si>
    <t>A.4</t>
  </si>
  <si>
    <t>Qeydiyyat ili</t>
  </si>
  <si>
    <t>İl</t>
  </si>
  <si>
    <t>A.5</t>
  </si>
  <si>
    <t>Hüquqi ünvan (tam)</t>
  </si>
  <si>
    <t>Bakı şəhəri, Nəsimi rayonu, Qulu Quliyev, ev 60, mənzil 4</t>
  </si>
  <si>
    <t>A-03</t>
  </si>
  <si>
    <t>A.6</t>
  </si>
  <si>
    <t>Əsas əlaqə şəxsi (ad, soyad)</t>
  </si>
  <si>
    <t>Həbib Atakişiyev</t>
  </si>
  <si>
    <t>—</t>
  </si>
  <si>
    <t>A.7</t>
  </si>
  <si>
    <t>Vəzifəsi</t>
  </si>
  <si>
    <t>CEO / Direktor</t>
  </si>
  <si>
    <t>A.8</t>
  </si>
  <si>
    <t>Telefon / WhatsApp</t>
  </si>
  <si>
    <t>+994 XX</t>
  </si>
  <si>
    <t>+994 50 336 70 02</t>
  </si>
  <si>
    <t>A.9</t>
  </si>
  <si>
    <t>E-poçt</t>
  </si>
  <si>
    <t>habib.atakisiyev@wesa.az</t>
  </si>
  <si>
    <t>A.10</t>
  </si>
  <si>
    <t>Veb sayt (varsa)</t>
  </si>
  <si>
    <t>URL</t>
  </si>
  <si>
    <t>www.wesa.az</t>
  </si>
  <si>
    <t xml:space="preserve">  HÜQUQİ SƏNƏDLƏR</t>
  </si>
  <si>
    <t>A.11</t>
  </si>
  <si>
    <t>Tikinti fəaliyyəti üzrə lisenziya mövcuddurmu?
⚠ MƏCBURİ — olmazsa müraciət rədd edilir</t>
  </si>
  <si>
    <t>Var/Yoxdur</t>
  </si>
  <si>
    <t>Var</t>
  </si>
  <si>
    <t>A-04</t>
  </si>
  <si>
    <t>A.12</t>
  </si>
  <si>
    <t>Lisenziyanın nömrəsi</t>
  </si>
  <si>
    <t>EL-220/2020</t>
  </si>
  <si>
    <t>A.13</t>
  </si>
  <si>
    <t>Lisenziyanın verilmə tarixi</t>
  </si>
  <si>
    <t>dd.mm.yyyy</t>
  </si>
  <si>
    <t>28.09.2020</t>
  </si>
  <si>
    <t>A.14</t>
  </si>
  <si>
    <t>Lisenziyanın etibarlılıq müddəti</t>
  </si>
  <si>
    <t>Müddətsiz</t>
  </si>
  <si>
    <t>A.15</t>
  </si>
  <si>
    <t>Vergi borcsuzluğu arayışı mövcuddurmu? (son 3 ay)
⚠ MƏCBURİ — olmazsa müraciət rədd edilir</t>
  </si>
  <si>
    <t>A-05</t>
  </si>
  <si>
    <t>A.16</t>
  </si>
  <si>
    <t>Arayışın verilmə tarixi</t>
  </si>
  <si>
    <t xml:space="preserve">  ŞİRKƏT STRUKTURU</t>
  </si>
  <si>
    <t>A.17</t>
  </si>
  <si>
    <t>Təsis forması (MMC / ASC / SC / və s.)</t>
  </si>
  <si>
    <t>MMC</t>
  </si>
  <si>
    <t>A.18</t>
  </si>
  <si>
    <t>Təsisçilərin sayı</t>
  </si>
  <si>
    <t>Nəfər</t>
  </si>
  <si>
    <t>A-06</t>
  </si>
  <si>
    <t>A.19</t>
  </si>
  <si>
    <t>Nizamnamə kapitalı</t>
  </si>
  <si>
    <t>AZN</t>
  </si>
  <si>
    <t>A.20</t>
  </si>
  <si>
    <t>Bank əlaqələri (IBAN)</t>
  </si>
  <si>
    <t>IBAN</t>
  </si>
  <si>
    <t>AZ66KABA00000000000004320697</t>
  </si>
  <si>
    <t>A-07</t>
  </si>
  <si>
    <t>B.  MALİYYƏ VƏZİYYƏTİ</t>
  </si>
  <si>
    <t>Son 3 ilin maliyyə göstəriciləri (USD)</t>
  </si>
  <si>
    <t xml:space="preserve">  İLLİK DÖVRİYYƏ (AZN)</t>
  </si>
  <si>
    <t>B.1</t>
  </si>
  <si>
    <t>Son tam il üzrə dövriyyə</t>
  </si>
  <si>
    <t>B-01</t>
  </si>
  <si>
    <t>B.2</t>
  </si>
  <si>
    <t>İkinci son il üzrə dövriyyə</t>
  </si>
  <si>
    <t>B.3</t>
  </si>
  <si>
    <t>Üçüncü son il üzrə dövriyyə</t>
  </si>
  <si>
    <t>B.4</t>
  </si>
  <si>
    <t>Son 3 ilin orta dövriyyəsi  (avtomatik)</t>
  </si>
  <si>
    <t xml:space="preserve">  KAPİTAL VƏ AKTİVLƏR</t>
  </si>
  <si>
    <t>B.5</t>
  </si>
  <si>
    <t>Son balans üzrə öz kapitalı (Equity)</t>
  </si>
  <si>
    <t>B-02</t>
  </si>
  <si>
    <t>B.6</t>
  </si>
  <si>
    <t>Cari aktivlər (son balans)</t>
  </si>
  <si>
    <t>B.7</t>
  </si>
  <si>
    <t>Cari öhdəliklər (son balans)</t>
  </si>
  <si>
    <t>B.8</t>
  </si>
  <si>
    <t>Likvidlik əmsalı (Current Ratio)  (avtomatik)</t>
  </si>
  <si>
    <t>katsayı</t>
  </si>
  <si>
    <t xml:space="preserve">  BANK VƏ AUDİT</t>
  </si>
  <si>
    <t>B.9</t>
  </si>
  <si>
    <t>Bank kredit xətti mövcuddurmu?</t>
  </si>
  <si>
    <t>B-03</t>
  </si>
  <si>
    <t>B.10</t>
  </si>
  <si>
    <t>Kredit xəttinin məbləği (varsa)</t>
  </si>
  <si>
    <t>B.11</t>
  </si>
  <si>
    <t>Bank adı</t>
  </si>
  <si>
    <t>Yapıkredi, Kapital Bank və Ziraat</t>
  </si>
  <si>
    <t>B.12</t>
  </si>
  <si>
    <t>Son 3 ildə audit olmuşdurmu?</t>
  </si>
  <si>
    <t>B-04</t>
  </si>
  <si>
    <t>B.13</t>
  </si>
  <si>
    <t>Audit şirkətinin adı (olduğu halda)</t>
  </si>
  <si>
    <t>Financial Reporting Center MMC</t>
  </si>
  <si>
    <t>C.  TEXNİKİ TƏCRÜBƏ VƏ KEÇMİŞ LAYİHƏLƏR</t>
  </si>
  <si>
    <t>Son 5 ildə tamamlanmış və hazırda davam edən layihələrin siyahısı</t>
  </si>
  <si>
    <t>⚠  Sarı xanaları doldurun. Ən azı 3 nümunə layihə göstərin. Sənəd: C-01 (layihə sertifikatları + müştəri məktubları)</t>
  </si>
  <si>
    <t xml:space="preserve">  TAMAMLANMIŞ LAYİHƏLƏR  (son 5 ildə)</t>
  </si>
  <si>
    <t>Layihənin Adı</t>
  </si>
  <si>
    <t>Müştəri (Sifarişçi)</t>
  </si>
  <si>
    <t>Başlama
Tarixi</t>
  </si>
  <si>
    <t>Bitmə
Tarixi</t>
  </si>
  <si>
    <t>Müddət
(ay)</t>
  </si>
  <si>
    <t>Layihə Dəyəri
(AZN)</t>
  </si>
  <si>
    <t>Layihənin Tipi</t>
  </si>
  <si>
    <t>Nizami Mall</t>
  </si>
  <si>
    <t>Delta MMC</t>
  </si>
  <si>
    <t>2023</t>
  </si>
  <si>
    <t>2024</t>
  </si>
  <si>
    <t>Fasad işləri</t>
  </si>
  <si>
    <t>Park Akademiya</t>
  </si>
  <si>
    <t>Avanqard MMC</t>
  </si>
  <si>
    <t>2025</t>
  </si>
  <si>
    <t>Central Towers</t>
  </si>
  <si>
    <t>SR Construction</t>
  </si>
  <si>
    <t>Ravy Tower (Baku Bay Tower)</t>
  </si>
  <si>
    <t>Prokon MMC</t>
  </si>
  <si>
    <t>2022</t>
  </si>
  <si>
    <t>Heat Exchanger and Air Coolers / RFP</t>
  </si>
  <si>
    <t>SOCAR Downstream</t>
  </si>
  <si>
    <t>Sənaye avadanlıqları</t>
  </si>
  <si>
    <t>Flue Gas Stack HAOR</t>
  </si>
  <si>
    <t>Polad konstruksiya</t>
  </si>
  <si>
    <t>Sevinc AVM</t>
  </si>
  <si>
    <t>Xəzər-2016 Construction MMC</t>
  </si>
  <si>
    <t>Hidravlik test qurğusu (PR 1176)</t>
  </si>
  <si>
    <t>Steel Structure Fabrication and Erection</t>
  </si>
  <si>
    <t>Delta LTD</t>
  </si>
  <si>
    <t>DTX Elevator Building</t>
  </si>
  <si>
    <t>Caspian Road MMC</t>
  </si>
  <si>
    <t>TAMAMLANMIŞ LAYİHƏLƏRİN SAYI</t>
  </si>
  <si>
    <t>ƏN BÖYÜK LAYİHƏ DƏYƏRİ:</t>
  </si>
  <si>
    <t xml:space="preserve">  HAZIRDA DAVAM EDƏN LAYİHƏLƏR</t>
  </si>
  <si>
    <t>Müştəri</t>
  </si>
  <si>
    <t>Başlama</t>
  </si>
  <si>
    <t>Planlanan
Bitmə</t>
  </si>
  <si>
    <t>Tamamlanma
%</t>
  </si>
  <si>
    <t>Layihə Dəyəri</t>
  </si>
  <si>
    <t>Hazırkı
Mərhələ</t>
  </si>
  <si>
    <t>Air Cooler</t>
  </si>
  <si>
    <t>2026</t>
  </si>
  <si>
    <t>The Ritz-Carlton Fasad İşləri</t>
  </si>
  <si>
    <t>Pasha Development MMC</t>
  </si>
  <si>
    <t>85%</t>
  </si>
  <si>
    <t>DAVAM EDƏN LAYİHƏLƏRİN SAYI</t>
  </si>
  <si>
    <t xml:space="preserve">  KEYFİYYƏT SERTİFİKATI</t>
  </si>
  <si>
    <t>C.1</t>
  </si>
  <si>
    <t>ISO 9001 Keyfiyyət sertifikatı mövcuddurmu?</t>
  </si>
  <si>
    <t>C-02</t>
  </si>
  <si>
    <t>C.2</t>
  </si>
  <si>
    <t>Sertifikatın nömrəsi</t>
  </si>
  <si>
    <t>I1731076497Q</t>
  </si>
  <si>
    <t>C.3</t>
  </si>
  <si>
    <t>Sertifikatın etibarlılıq tarixi</t>
  </si>
  <si>
    <t>10.12.2026</t>
  </si>
  <si>
    <t>D.  MADDİ-TEXNİKİ BAZA</t>
  </si>
  <si>
    <t>Ofis, avadanlıq, nəqliyyat və iş alətləri</t>
  </si>
  <si>
    <t xml:space="preserve">  OFİS VƏ EMALATXANA</t>
  </si>
  <si>
    <t>D.1</t>
  </si>
  <si>
    <t>Baş ofisin ünvanı</t>
  </si>
  <si>
    <t>Latif Sultanov 132, Bakıxanov, Bakı</t>
  </si>
  <si>
    <t>D-01</t>
  </si>
  <si>
    <t>D.2</t>
  </si>
  <si>
    <t>Ofis sahəsi</t>
  </si>
  <si>
    <t>m²</t>
  </si>
  <si>
    <t>D.3</t>
  </si>
  <si>
    <t>Mülkiyyət forması (öz/kira)</t>
  </si>
  <si>
    <t>Kirayə</t>
  </si>
  <si>
    <t>D.4</t>
  </si>
  <si>
    <t>Emalatxana sahəsi varsa</t>
  </si>
  <si>
    <t>D.5</t>
  </si>
  <si>
    <t>Anbar sahəsi</t>
  </si>
  <si>
    <t xml:space="preserve">  AVADANLIQ VƏ ALƏTLƏR</t>
  </si>
  <si>
    <t>D.6</t>
  </si>
  <si>
    <t>İnşaat avadanlıqlarının ümumi sayı</t>
  </si>
  <si>
    <t>ədəd</t>
  </si>
  <si>
    <t>D-02</t>
  </si>
  <si>
    <t>D.7</t>
  </si>
  <si>
    <t>Kran / yük qaldırıcı sayı</t>
  </si>
  <si>
    <t>D.8</t>
  </si>
  <si>
    <t>Beton qarışdırıcı və nasos sayı</t>
  </si>
  <si>
    <t>D.9</t>
  </si>
  <si>
    <t>Qaynaq və metal emal avadanlığı</t>
  </si>
  <si>
    <t>D.10</t>
  </si>
  <si>
    <t>Elektrik alət dəstləri (kompleks)</t>
  </si>
  <si>
    <t xml:space="preserve">  NƏQLİYYAT PARKI</t>
  </si>
  <si>
    <t>D.11</t>
  </si>
  <si>
    <t>Yük maşınlarının sayı</t>
  </si>
  <si>
    <t>D-03</t>
  </si>
  <si>
    <t>D.12</t>
  </si>
  <si>
    <t>Mikroavtobus / minik maşın sayı</t>
  </si>
  <si>
    <t>D.13</t>
  </si>
  <si>
    <t>İxtisas texnikası (ekskavator, bulldozer)</t>
  </si>
  <si>
    <t>D.14</t>
  </si>
  <si>
    <t>Bütün nəqliyyat sığortalıdırmı?</t>
  </si>
  <si>
    <t>E.  KADR RESURSLARI</t>
  </si>
  <si>
    <t>Heyət sayı, ixtisaslar və subpodratçı bazası</t>
  </si>
  <si>
    <t xml:space="preserve">  ÜMUMİ HEYƏT</t>
  </si>
  <si>
    <t>E.1</t>
  </si>
  <si>
    <t>Ümumi daimi heyət sayı</t>
  </si>
  <si>
    <t>nəfər</t>
  </si>
  <si>
    <t>E-01</t>
  </si>
  <si>
    <t>E.2</t>
  </si>
  <si>
    <t>Müvəqqəti / müqaviləli işçi sayı</t>
  </si>
  <si>
    <t>E.3</t>
  </si>
  <si>
    <t>İnzibati heyət sayı</t>
  </si>
  <si>
    <t xml:space="preserve">  TEXNİKİ HEYƏT  (ixtisaslar üzrə)</t>
  </si>
  <si>
    <t>E.4</t>
  </si>
  <si>
    <t>Baş mühəndis / texniki direktor sayı</t>
  </si>
  <si>
    <t>E-02</t>
  </si>
  <si>
    <t>E.5</t>
  </si>
  <si>
    <t>Tikinti mühəndisləri</t>
  </si>
  <si>
    <t>E.6</t>
  </si>
  <si>
    <t>Memarlar</t>
  </si>
  <si>
    <t>E.7</t>
  </si>
  <si>
    <t>Elektrik mühəndisləri</t>
  </si>
  <si>
    <t>E.8</t>
  </si>
  <si>
    <t>MEP / HVAC mühəndisləri</t>
  </si>
  <si>
    <t>E.9</t>
  </si>
  <si>
    <t>Texniklər (usta, texnik)</t>
  </si>
  <si>
    <t xml:space="preserve">  FƏHLƏ HEYƏTİ</t>
  </si>
  <si>
    <t>E.10</t>
  </si>
  <si>
    <t>İxtisaslı fəhlələr (ümumi)</t>
  </si>
  <si>
    <t>E.11</t>
  </si>
  <si>
    <t>Köməkçi fəhlələr</t>
  </si>
  <si>
    <t xml:space="preserve">  İSG (HSE) VƏ KEYFİYYƏT HEYƏTİ</t>
  </si>
  <si>
    <t>E.12</t>
  </si>
  <si>
    <t>Tam ştatlı SƏTƏMM (HSE) mütəxəssisi varmı?</t>
  </si>
  <si>
    <t>E-03</t>
  </si>
  <si>
    <t>E.13</t>
  </si>
  <si>
    <t>SƏTƏMM mütəxəssisinin ixtisas sertifikatı</t>
  </si>
  <si>
    <t>E.14</t>
  </si>
  <si>
    <t>Keyfiyyət nəzarət heyəti sayı</t>
  </si>
  <si>
    <t xml:space="preserve">  SUBPODRATÇI BAZASI</t>
  </si>
  <si>
    <t>E.15</t>
  </si>
  <si>
    <t>Daimi subpodratçıların sayı</t>
  </si>
  <si>
    <t>şirkət</t>
  </si>
  <si>
    <t>E-04</t>
  </si>
  <si>
    <t>E.16</t>
  </si>
  <si>
    <t>Subpodratçı müqavilələri rəsmiləşdirilibmi?</t>
  </si>
  <si>
    <t>F.  HSE VƏ KEYFİYYƏT SİSTEMİ</t>
  </si>
  <si>
    <t>Əməyin mühafizəsi, sertifikatlar və bədbəxt hadisə statistikası</t>
  </si>
  <si>
    <t>SƏTƏMM SERTİFİKATI VƏ PLANI</t>
  </si>
  <si>
    <t>F.1</t>
  </si>
  <si>
    <t>Şirkətin SƏTƏMM siyasəti sənədi varmı?
⚠ MƏCBURİ — olmazsa müraciət rədd edilir</t>
  </si>
  <si>
    <t>F-01</t>
  </si>
  <si>
    <t>F.2</t>
  </si>
  <si>
    <t>SƏTƏMM planının tarixi</t>
  </si>
  <si>
    <t>F.3</t>
  </si>
  <si>
    <t>İşçilərə SƏTƏMMtəlimi keçirilirmi?</t>
  </si>
  <si>
    <t>F-02</t>
  </si>
  <si>
    <t>F.4</t>
  </si>
  <si>
    <t>İl ərzində təlim saatları</t>
  </si>
  <si>
    <t>saat</t>
  </si>
  <si>
    <t xml:space="preserve">  ISO SERTİFİKATLARI</t>
  </si>
  <si>
    <t>F.5</t>
  </si>
  <si>
    <t>ISO 14001 (Ətraf mühit) sertifikatı varmı?</t>
  </si>
  <si>
    <t>F-03</t>
  </si>
  <si>
    <t>F.6</t>
  </si>
  <si>
    <t>Sertifikat nömrəsi</t>
  </si>
  <si>
    <t>I1731076505E</t>
  </si>
  <si>
    <t>F.7</t>
  </si>
  <si>
    <t>Etibarlılıq tarixi</t>
  </si>
  <si>
    <t>F.8</t>
  </si>
  <si>
    <t>ISO 45001 (Əməyin təhlükəsizliyi) varmı?</t>
  </si>
  <si>
    <t>F-04</t>
  </si>
  <si>
    <t>F.9</t>
  </si>
  <si>
    <t>I1731076512O</t>
  </si>
  <si>
    <t>F.10</t>
  </si>
  <si>
    <t xml:space="preserve">  BƏDBƏXT HADİSƏ STATİSTİKASI  (son 3 il)</t>
  </si>
  <si>
    <t>F.11</t>
  </si>
  <si>
    <t>Ölümlə nəticələnən hadisə sayı
Bütün hallar bildirilməlidir</t>
  </si>
  <si>
    <t>F-05</t>
  </si>
  <si>
    <t>F.12</t>
  </si>
  <si>
    <t>Ağır xəsarətlə nəticələnən hadisə sayı</t>
  </si>
  <si>
    <t>F.13</t>
  </si>
  <si>
    <t>İş günü itkisi ilə nəticələnən hadisə</t>
  </si>
  <si>
    <t>F.14</t>
  </si>
  <si>
    <t>LTIR (Lost Time Injury Rate) son il</t>
  </si>
  <si>
    <t>0.00</t>
  </si>
  <si>
    <t xml:space="preserve">  ŞƏXSİ MÜHAFİZƏ VASİTƏLƏRİ (FMV)</t>
  </si>
  <si>
    <t>F.15</t>
  </si>
  <si>
    <t>Bütün işçilər FMV ilə təmin olunurmu?</t>
  </si>
  <si>
    <t>F-06</t>
  </si>
  <si>
    <t>F.16</t>
  </si>
  <si>
    <t>FMV-nin keyfiyyət sertifikatı varmı?</t>
  </si>
  <si>
    <t>G.  SIĞORTA VƏ REFERANSLAR</t>
  </si>
  <si>
    <t>Məsuliyyət sığortası və müştəri referansları</t>
  </si>
  <si>
    <t xml:space="preserve">  MƏSULİYYƏT SIĞORTASI</t>
  </si>
  <si>
    <t>G.1</t>
  </si>
  <si>
    <t>Peşəkar məsuliyyət sığortası varmı?</t>
  </si>
  <si>
    <t>G-01</t>
  </si>
  <si>
    <t>G.2</t>
  </si>
  <si>
    <t>Sığorta şirkətinin adı</t>
  </si>
  <si>
    <t>PASHA Insurance OJSC</t>
  </si>
  <si>
    <t>G.3</t>
  </si>
  <si>
    <t>Sığorta polisi nömrəsi</t>
  </si>
  <si>
    <t>C-GL-0031/22</t>
  </si>
  <si>
    <t>G.4</t>
  </si>
  <si>
    <t>Sığorta məbləği (limit)</t>
  </si>
  <si>
    <t>USD 250,000 (Property) / USD 65,000 (Bodily)</t>
  </si>
  <si>
    <t>G.5</t>
  </si>
  <si>
    <t>Sığorta etibarlılıq tarixi</t>
  </si>
  <si>
    <t>Layihe esasli (40 gun)</t>
  </si>
  <si>
    <t>G.6</t>
  </si>
  <si>
    <t>Ümumi məsuliyyət sığortası varmı?</t>
  </si>
  <si>
    <t>G.7</t>
  </si>
  <si>
    <t>USD 315,000 (annual aggregate)</t>
  </si>
  <si>
    <t xml:space="preserve">  MÜŞTƏRİ REFERANSLARI  (minimum 3 müştəri)</t>
  </si>
  <si>
    <t>Müştəri Şirkət</t>
  </si>
  <si>
    <t>Layihə Adı</t>
  </si>
  <si>
    <t>Əlaqə Şəxsi / Telefon</t>
  </si>
  <si>
    <t>Sənəd (referans məktubu)</t>
  </si>
  <si>
    <t>Norm</t>
  </si>
  <si>
    <t>Serdar Camdal / serdar.camdal@norm.az</t>
  </si>
  <si>
    <t>G-02</t>
  </si>
  <si>
    <t>U.S Embassy</t>
  </si>
  <si>
    <t>Anar Rzayev / RzayevA@state.gov</t>
  </si>
  <si>
    <t>Azad Namazov / a.namazov@prokon.az</t>
  </si>
  <si>
    <t>Ayaz Yusifov / ayaz.yusifov@socardownstream.az</t>
  </si>
  <si>
    <t>Fasad və polad konstruksiya</t>
  </si>
  <si>
    <t>Rövşən Hacıyev / rovshan.hajiyev@deltaavm.com</t>
  </si>
  <si>
    <t>Sabir Məmmədzadə / sabir.mammadzada@pre.az</t>
  </si>
  <si>
    <t>Vüsal Əliyev / vusal.aliyev@caspianroad.az</t>
  </si>
  <si>
    <t>Avanqard MM MMC</t>
  </si>
  <si>
    <t>Said Abdulla / said.abdulla@gcapital.az</t>
  </si>
  <si>
    <t>TƏQDİM EDİLƏN REFERANSLARIN SAYI</t>
  </si>
  <si>
    <t>(minimum 3)</t>
  </si>
  <si>
    <t>TƏQDİM ETMƏLİ OLDUĞUNUZ SƏNƏDLƏR PAKETİ</t>
  </si>
  <si>
    <t>Hər sənədi PDF şəklində ayrıca fayl halında hazırlayın və kod-a uyğun adlandırın (məs. A-01_nizamname.pdf)</t>
  </si>
  <si>
    <t>⚠  Qeyd sütununa sənədin statusunu yazın: 'Hazır', 'Hazırlanır' və ya 'Aidiyyatsız'</t>
  </si>
  <si>
    <t>Sənəd Kodu</t>
  </si>
  <si>
    <t>Sənədin Adı</t>
  </si>
  <si>
    <t>Məcburi?</t>
  </si>
  <si>
    <t>Status</t>
  </si>
  <si>
    <t>Qeyd / Fayl adı</t>
  </si>
  <si>
    <t xml:space="preserve">  A.  ŞİRKƏT PROFİLİ</t>
  </si>
  <si>
    <t>Şirkətin dövlət qeydiyyatı sənədi</t>
  </si>
  <si>
    <t>MƏCBURİ</t>
  </si>
  <si>
    <t>Hazır</t>
  </si>
  <si>
    <t>A-01_dovlet_qeydiyyati.pdf</t>
  </si>
  <si>
    <t>VÖEN və Ticarət reyestri çıxarışı</t>
  </si>
  <si>
    <t>A-02_VOEN_ticaret_reyestri.pdf (TIN+Vergi Qeyd.+Reyestr)</t>
  </si>
  <si>
    <t>Nizamnamə (son redaksiyası)</t>
  </si>
  <si>
    <t>A-03_nizamname.pdf</t>
  </si>
  <si>
    <t>Tikinti fəaliyyəti üzrə lisenziya (surət, qüvvədə)</t>
  </si>
  <si>
    <t>A-04_tikinti_lisenziyasi.pdf (EL-220/2020)</t>
  </si>
  <si>
    <t>Vergi borcsuzluğu arayışı (son 3 ay)</t>
  </si>
  <si>
    <t>A-05_vergi_borcsuzlugu.pdf (22.04.2026)</t>
  </si>
  <si>
    <t>Təsisçi(lər)in şəxsiyyət vəsiqəsi surəti</t>
  </si>
  <si>
    <t>Opsional</t>
  </si>
  <si>
    <t>A-06_tesiscilerin_vesiqesi.pdf (3 nefer)</t>
  </si>
  <si>
    <t>Bank rekvizitləri (IBAN məktubu)</t>
  </si>
  <si>
    <t>A-07_bank_rekvizitleri_IBAN.pdf (YapiKredi+Kapital+Ziraat)</t>
  </si>
  <si>
    <t xml:space="preserve">  B.  MALİYYƏ</t>
  </si>
  <si>
    <t>Son 3 ilin mənfəət-zərər hesabatı</t>
  </si>
  <si>
    <t>B-01_son_3il_menfeet_zerer.pdf (2022-2024)</t>
  </si>
  <si>
    <t>Son ilin balans hesabatı</t>
  </si>
  <si>
    <t>B-02_son_il_balans.pdf</t>
  </si>
  <si>
    <t>Bank kredit xətti məktubu (varsa)</t>
  </si>
  <si>
    <t>B-03_bank_kredit_xetti.pdf (YapiKredi, 1.690.000 AZN)</t>
  </si>
  <si>
    <t>Auditdən keçmiş maliyyə hesabatı (son il)</t>
  </si>
  <si>
    <t>B-04_audit_hesabati.pdf (Financial Reporting Center)</t>
  </si>
  <si>
    <t xml:space="preserve">  C.  TEXNİKİ TƏCRÜBƏ</t>
  </si>
  <si>
    <t>C-01</t>
  </si>
  <si>
    <t>Tamamlanmış layihələrin sertifikatları və müştəri məktubları (hər layihə üçün)</t>
  </si>
  <si>
    <t>ISO 9001 sertifikatı (varsa)</t>
  </si>
  <si>
    <t>C-02_ISO_9001_sertifikati.pdf</t>
  </si>
  <si>
    <t xml:space="preserve">  D.  MADDİ-TEXNİKİ BAZA</t>
  </si>
  <si>
    <t>Ofis/emalatxana mülkiyyət/kira müqaviləsi</t>
  </si>
  <si>
    <t>D-01_ofis_emalatxana_kira_muqavilesi.pdf (Baki Ovuntu Met.)</t>
  </si>
  <si>
    <t>Avadanlıq siyahısı və şəkilləri</t>
  </si>
  <si>
    <t>D-02_avadanliq_siyahisi.xlsx</t>
  </si>
  <si>
    <t>Nəqliyyat vasitələrinin texniki pasportları</t>
  </si>
  <si>
    <t>D-03_neqliyyat_texniki_pasportlari.pdf (4 vasitə)</t>
  </si>
  <si>
    <t xml:space="preserve">  E.  KADR RESURSLARI</t>
  </si>
  <si>
    <t>İşçi heyətinin siyahısı (anonim — say göstəriciləri)</t>
  </si>
  <si>
    <t>E-01_isci_heyetinin_siyahisi.xlsx (20.04.2026)</t>
  </si>
  <si>
    <t>Mühəndis heyətinin ixtisas diplomları (surət)</t>
  </si>
  <si>
    <t>E-02_muhendis_ixtisas_diplomlari.pdf (5 sened)</t>
  </si>
  <si>
    <t>SƏTƏMM mütəxəssisinin sertifikatı</t>
  </si>
  <si>
    <t>E-03_SETEMM_mutexessis_sertifikati.pdf (S.Bayramov)</t>
  </si>
  <si>
    <t>Daimi subpodratçılarla müqavilələrin siyahısı</t>
  </si>
  <si>
    <t>Aidiyyatsız</t>
  </si>
  <si>
    <t xml:space="preserve">  F.  SƏTƏMM VƏ KEYFİYYƏT</t>
  </si>
  <si>
    <t>SƏTƏMM siyasəti və planı sənədi</t>
  </si>
  <si>
    <t>F-01_SETEMM_siyaseti_ve_plani.pdf (3 siyaset)</t>
  </si>
  <si>
    <t>SƏTƏMM təlim jurnalı (son il)</t>
  </si>
  <si>
    <t>F-02_SETEMM_telim_jurnali.pdf (Training Academy)</t>
  </si>
  <si>
    <t>ISO 14001 sertifikatı (varsa)</t>
  </si>
  <si>
    <t>F-03_ISO_14001_sertifikati.pdf (10.12.2026-dek)</t>
  </si>
  <si>
    <t>ISO 45001 sertifikatı (varsa)</t>
  </si>
  <si>
    <t>F-04_ISO_45001_sertifikati.pdf (10.12.2026-dek)</t>
  </si>
  <si>
    <t>Son 3 ilin bədbəxt hadisə hesabatı</t>
  </si>
  <si>
    <t>Son 3 ilde bedbext hadise olmayib (0/0/0)</t>
  </si>
  <si>
    <t>FMV (şəxsi mühafizə vasitələri) sertifikatları</t>
  </si>
  <si>
    <t>F-06_FMV_sertifikatlari.pdf (APEX Uniform)</t>
  </si>
  <si>
    <t xml:space="preserve">  G.  SIĞORTA VƏ REFERANSLAR</t>
  </si>
  <si>
    <t>Peşəkar və ümumi məsuliyyət sığortası polisi</t>
  </si>
  <si>
    <t>G-01_mesuliyyet_sigorta_polisi.pdf (PASHA+General Liability)</t>
  </si>
  <si>
    <t>Müştəri referans məktubları (minimum 3 ədəd)</t>
  </si>
  <si>
    <t>G-02_musteri_referans_mektublari.pdf (ATL, NORM, U.S. Embassy)</t>
  </si>
  <si>
    <t xml:space="preserve">  H.  İMZA VƏ BƏYANNAMƏ</t>
  </si>
  <si>
    <t>H-01</t>
  </si>
  <si>
    <t>Rəhbərin imzaladığı Bəyannamə (son vərəqədən)</t>
  </si>
  <si>
    <t>H-01_H-02_beyanname_ve_imza.pdf (27.04.2026, imzali+mohurlu)</t>
  </si>
  <si>
    <t>H-02</t>
  </si>
  <si>
    <t>Şirkət möhürü ilə təsdiq olunmuş forma</t>
  </si>
  <si>
    <t>H-01_H-02_beyanname_ve_imza.pdf (eyni sened)</t>
  </si>
  <si>
    <t>TAMAMLANMA DƏRƏCƏSİ</t>
  </si>
  <si>
    <t>BƏYANNAMƏ  VƏ  İMZA</t>
  </si>
  <si>
    <t>Şirkət rəhbərinin imzası və möhürü ilə təsdiqlənir</t>
  </si>
  <si>
    <t xml:space="preserve">  ŞİRKƏT RƏHBƏRİNİN BƏYANNAMƏSİ</t>
  </si>
  <si>
    <t>Mən, aşağıda imzası olan şəxs, bu formanın və əlavə edilmiş bütün sənədlərin həqiqətə uyğun və dəqiq olduğunu təsdiq edirəm.
Eyni zamanda bildirirəm ki:
• Formada göstərilən məlumatlar şirkətimizin rəsmi mənbələrinə əsaslanır.
• Təqdim edilən sənədlərin əsli ilə surəti arasında uyğunsuzluq yoxdur.
• Yanlış məlumat aşkar edildikdə prekvalifikasiyadan rədd edilməyə razılıq veririk.
• Məlumatlarımızı sifarişçi şirkətin tender prosesində istifadə etməsinə icazə veririk.
• Təqdim etdiyim heyət və subpodratçılar şirkətimiz tərəfindən rəsmi təsdiq edilib.</t>
  </si>
  <si>
    <t xml:space="preserve">  İMZA MƏLUMATLARI</t>
  </si>
  <si>
    <t>Şirkətin tam adı:</t>
  </si>
  <si>
    <t>Rəhbərin Ad, Soyadı:</t>
  </si>
  <si>
    <t>Vəzifəsi:</t>
  </si>
  <si>
    <t>Tarix:</t>
  </si>
  <si>
    <t>İmza:</t>
  </si>
  <si>
    <t>Möhür:</t>
  </si>
  <si>
    <t>⚠  BU FORMA İMZALANMADAN VƏ MÖHÜR VURULMADAN QƏBUL EDİLMİR. Çap edin, imzalayın, möhür vurun və taranmış (scan) PDF nüsxəsini göndərin.</t>
  </si>
  <si>
    <t>C-01_layihe_sertifikatlari_musteri_mektublari.pdf (7 sened)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</si>
</sst>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3" x14ac:knownFonts="1">
    <font>
      <sz val="11"/>
      <color theme="1"/>
      <name val="Calibri"/>
      <family val="2"/>
      <charset val="1"/>
    </font>
    <font>
      <i/>
      <sz val="11"/>
      <color rgb="FF808080"/>
      <name val="Arial"/>
      <charset val="1"/>
    </font>
    <font>
      <b/>
      <sz val="18"/>
      <color rgb="FFFFFFFF"/>
      <name val="Arial"/>
      <charset val="1"/>
    </font>
    <font>
      <i/>
      <sz val="11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404040"/>
      <name val="Arial"/>
      <charset val="1"/>
    </font>
    <font>
      <b/>
      <sz val="10"/>
      <color rgb="FF0000FF"/>
      <name val="Arial"/>
      <charset val="1"/>
    </font>
    <font>
      <i/>
      <sz val="10"/>
      <color rgb="FF1F3864"/>
      <name val="Arial"/>
      <charset val="1"/>
    </font>
    <font>
      <b/>
      <sz val="10"/>
      <color rgb="FF1F3864"/>
      <name val="Arial"/>
      <charset val="1"/>
    </font>
    <font>
      <sz val="10"/>
      <color rgb="FF404040"/>
      <name val="Arial"/>
      <charset val="1"/>
    </font>
    <font>
      <u/>
      <sz val="11"/>
      <color theme="10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b/>
      <sz val="11"/>
      <color rgb="FF1F3864"/>
      <name val="Arial"/>
      <charset val="1"/>
    </font>
    <font>
      <sz val="9"/>
      <color rgb="FF404040"/>
      <name val="Arial"/>
      <charset val="1"/>
    </font>
    <font>
      <b/>
      <sz val="12"/>
      <color rgb="FFFFFFFF"/>
      <name val="Arial"/>
      <charset val="1"/>
    </font>
    <font>
      <b/>
      <i/>
      <sz val="10"/>
      <color rgb="FFFFFFFF"/>
      <name val="Arial"/>
      <charset val="1"/>
    </font>
    <font>
      <i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2E5DA3"/>
      <name val="Arial"/>
      <charset val="1"/>
    </font>
    <font>
      <i/>
      <sz val="8"/>
      <color rgb="FF808080"/>
      <name val="Arial"/>
      <charset val="1"/>
    </font>
    <font>
      <b/>
      <sz val="9"/>
      <color rgb="FF7030A0"/>
      <name val="Arial"/>
      <charset val="1"/>
    </font>
    <font>
      <b/>
      <sz val="9"/>
      <color rgb="FF006B6B"/>
      <name val="Arial"/>
      <charset val="1"/>
    </font>
    <font>
      <b/>
      <sz val="10"/>
      <color rgb="FF006B6B"/>
      <name val="Arial"/>
      <charset val="1"/>
    </font>
    <font>
      <i/>
      <sz val="9"/>
      <color rgb="FF006B6B"/>
      <name val="Arial"/>
      <charset val="1"/>
    </font>
    <font>
      <b/>
      <sz val="9"/>
      <color rgb="FFFFFFFF"/>
      <name val="Arial"/>
      <charset val="1"/>
    </font>
    <font>
      <sz val="9"/>
      <color rgb="FF0000FF"/>
      <name val="Arial"/>
      <charset val="1"/>
    </font>
    <font>
      <b/>
      <sz val="9"/>
      <color rgb="FF843C0C"/>
      <name val="Arial"/>
      <charset val="1"/>
    </font>
    <font>
      <b/>
      <sz val="9"/>
      <color rgb="FF0000FF"/>
      <name val="Arial"/>
      <charset val="1"/>
    </font>
    <font>
      <b/>
      <sz val="10"/>
      <color rgb="FF7030A0"/>
      <name val="Arial"/>
      <charset val="1"/>
    </font>
    <font>
      <b/>
      <sz val="9"/>
      <color rgb="FF7B0000"/>
      <name val="Arial"/>
      <charset val="1"/>
    </font>
    <font>
      <b/>
      <sz val="9"/>
      <color rgb="FF808080"/>
      <name val="Arial"/>
      <charset val="1"/>
    </font>
    <font>
      <b/>
      <i/>
      <sz val="11"/>
      <color rgb="FFFFFFFF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F2F2F2"/>
        <bgColor rgb="FFF4EAFB"/>
      </patternFill>
    </fill>
    <fill>
      <patternFill patternType="solid">
        <fgColor rgb="FF1F3864"/>
        <bgColor rgb="FF333399"/>
      </patternFill>
    </fill>
    <fill>
      <patternFill patternType="solid">
        <fgColor rgb="FF2E5DA3"/>
        <bgColor rgb="FF4472C4"/>
      </patternFill>
    </fill>
    <fill>
      <patternFill patternType="solid">
        <fgColor rgb="FF4472C4"/>
        <bgColor rgb="FF2E5DA3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2F2F2"/>
      </patternFill>
    </fill>
    <fill>
      <patternFill patternType="solid">
        <fgColor rgb="FFC9A227"/>
        <bgColor rgb="FF99CC00"/>
      </patternFill>
    </fill>
    <fill>
      <patternFill patternType="solid">
        <fgColor rgb="FF006B6B"/>
        <bgColor rgb="FF008080"/>
      </patternFill>
    </fill>
    <fill>
      <patternFill patternType="solid">
        <fgColor rgb="FFE0F2F1"/>
        <bgColor rgb="FFE2EFDA"/>
      </patternFill>
    </fill>
    <fill>
      <patternFill patternType="solid">
        <fgColor rgb="FFBDD7EE"/>
        <bgColor rgb="FF99CCFF"/>
      </patternFill>
    </fill>
    <fill>
      <patternFill patternType="solid">
        <fgColor rgb="FFF4EAFB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C00000"/>
        <bgColor rgb="FF800000"/>
      </patternFill>
    </fill>
    <fill>
      <patternFill patternType="solid">
        <fgColor rgb="FFC55A11"/>
        <bgColor rgb="FF843C0C"/>
      </patternFill>
    </fill>
    <fill>
      <patternFill patternType="solid">
        <fgColor rgb="FF843C0C"/>
        <bgColor rgb="FF993366"/>
      </patternFill>
    </fill>
    <fill>
      <patternFill patternType="solid">
        <fgColor rgb="FF7030A0"/>
        <bgColor rgb="FF993366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medium">
        <color rgb="FF006B6B"/>
      </left>
      <right style="medium">
        <color rgb="FF006B6B"/>
      </right>
      <top style="medium">
        <color rgb="FF006B6B"/>
      </top>
      <bottom style="medium">
        <color rgb="FF006B6B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medium">
        <color rgb="FF006B6B"/>
      </right>
      <top style="medium">
        <color rgb="FF006B6B"/>
      </top>
      <bottom style="medium">
        <color rgb="FF006B6B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5" fillId="2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/>
    </xf>
    <xf numFmtId="0" fontId="14" fillId="7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0" fillId="12" borderId="1" xfId="0" applyFill="1" applyBorder="1"/>
    <xf numFmtId="0" fontId="0" fillId="2" borderId="1" xfId="0" applyFill="1" applyBorder="1"/>
    <xf numFmtId="0" fontId="0" fillId="7" borderId="1" xfId="0" applyFill="1" applyBorder="1"/>
    <xf numFmtId="0" fontId="0" fillId="13" borderId="1" xfId="0" applyFill="1" applyBorder="1"/>
    <xf numFmtId="0" fontId="15" fillId="8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1" fontId="6" fillId="6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3" fontId="6" fillId="6" borderId="1" xfId="0" applyNumberFormat="1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left" vertical="center"/>
    </xf>
    <xf numFmtId="0" fontId="24" fillId="10" borderId="1" xfId="0" applyFont="1" applyFill="1" applyBorder="1" applyAlignment="1">
      <alignment horizontal="center" vertical="center"/>
    </xf>
    <xf numFmtId="3" fontId="23" fillId="10" borderId="1" xfId="0" applyNumberFormat="1" applyFont="1" applyFill="1" applyBorder="1" applyAlignment="1">
      <alignment horizontal="center" vertical="center"/>
    </xf>
    <xf numFmtId="2" fontId="23" fillId="10" borderId="1" xfId="0" applyNumberFormat="1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left" vertical="center" wrapText="1"/>
    </xf>
    <xf numFmtId="164" fontId="26" fillId="6" borderId="1" xfId="0" applyNumberFormat="1" applyFont="1" applyFill="1" applyBorder="1" applyAlignment="1">
      <alignment horizontal="center" vertical="center"/>
    </xf>
    <xf numFmtId="1" fontId="26" fillId="6" borderId="1" xfId="0" applyNumberFormat="1" applyFont="1" applyFill="1" applyBorder="1" applyAlignment="1">
      <alignment horizontal="center" vertical="center"/>
    </xf>
    <xf numFmtId="3" fontId="26" fillId="6" borderId="1" xfId="0" applyNumberFormat="1" applyFont="1" applyFill="1" applyBorder="1" applyAlignment="1">
      <alignment horizontal="center" vertical="center"/>
    </xf>
    <xf numFmtId="3" fontId="4" fillId="9" borderId="1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9" fontId="26" fillId="6" borderId="1" xfId="0" applyNumberFormat="1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29" fillId="12" borderId="1" xfId="0" applyFont="1" applyFill="1" applyBorder="1" applyAlignment="1">
      <alignment horizontal="center" vertical="center"/>
    </xf>
    <xf numFmtId="0" fontId="30" fillId="13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left" vertical="center"/>
    </xf>
    <xf numFmtId="0" fontId="31" fillId="2" borderId="1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0" fillId="0" borderId="0" xfId="0"/>
    <xf numFmtId="0" fontId="6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left" vertical="center"/>
    </xf>
    <xf numFmtId="1" fontId="4" fillId="9" borderId="1" xfId="0" applyNumberFormat="1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8" fillId="7" borderId="1" xfId="0" applyFont="1" applyFill="1" applyBorder="1" applyAlignment="1">
      <alignment horizontal="left" vertical="center"/>
    </xf>
    <xf numFmtId="0" fontId="0" fillId="0" borderId="6" xfId="0" applyBorder="1"/>
    <xf numFmtId="164" fontId="6" fillId="6" borderId="1" xfId="0" applyNumberFormat="1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1" fontId="8" fillId="7" borderId="1" xfId="0" applyNumberFormat="1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left" vertical="center"/>
    </xf>
    <xf numFmtId="0" fontId="9" fillId="6" borderId="1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4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left" vertical="center"/>
    </xf>
    <xf numFmtId="0" fontId="12" fillId="4" borderId="0" xfId="0" applyFont="1" applyFill="1" applyAlignment="1">
      <alignment horizontal="center" vertical="center"/>
    </xf>
    <xf numFmtId="0" fontId="16" fillId="14" borderId="2" xfId="0" applyFont="1" applyFill="1" applyBorder="1" applyAlignment="1">
      <alignment horizontal="left" vertical="center" wrapText="1"/>
    </xf>
    <xf numFmtId="0" fontId="11" fillId="3" borderId="0" xfId="0" applyFont="1" applyFill="1" applyAlignment="1">
      <alignment horizontal="center" vertical="center"/>
    </xf>
    <xf numFmtId="0" fontId="17" fillId="1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center" vertical="center"/>
    </xf>
    <xf numFmtId="164" fontId="28" fillId="6" borderId="1" xfId="0" applyNumberFormat="1" applyFont="1" applyFill="1" applyBorder="1" applyAlignment="1">
      <alignment horizontal="center" vertical="center"/>
    </xf>
    <xf numFmtId="1" fontId="4" fillId="16" borderId="1" xfId="0" applyNumberFormat="1" applyFont="1" applyFill="1" applyBorder="1" applyAlignment="1">
      <alignment horizontal="center" vertical="center"/>
    </xf>
    <xf numFmtId="0" fontId="0" fillId="0" borderId="12" xfId="0" applyBorder="1"/>
    <xf numFmtId="0" fontId="18" fillId="17" borderId="0" xfId="0" applyFont="1" applyFill="1" applyAlignment="1">
      <alignment horizontal="left" vertical="center"/>
    </xf>
    <xf numFmtId="0" fontId="28" fillId="6" borderId="1" xfId="0" applyFont="1" applyFill="1" applyBorder="1" applyAlignment="1">
      <alignment horizontal="center" vertical="center"/>
    </xf>
    <xf numFmtId="0" fontId="18" fillId="15" borderId="0" xfId="0" applyFont="1" applyFill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18" fillId="9" borderId="1" xfId="0" applyFont="1" applyFill="1" applyBorder="1" applyAlignment="1">
      <alignment horizontal="right" vertical="center"/>
    </xf>
    <xf numFmtId="0" fontId="14" fillId="7" borderId="1" xfId="0" applyFont="1" applyFill="1" applyBorder="1" applyAlignment="1">
      <alignment horizontal="left" vertical="center"/>
    </xf>
    <xf numFmtId="0" fontId="18" fillId="16" borderId="1" xfId="0" applyFont="1" applyFill="1" applyBorder="1" applyAlignment="1">
      <alignment horizontal="right" vertical="center"/>
    </xf>
    <xf numFmtId="1" fontId="4" fillId="9" borderId="1" xfId="0" applyNumberFormat="1" applyFont="1" applyFill="1" applyBorder="1" applyAlignment="1">
      <alignment horizontal="center" vertical="center"/>
    </xf>
    <xf numFmtId="9" fontId="11" fillId="9" borderId="3" xfId="0" applyNumberFormat="1" applyFont="1" applyFill="1" applyBorder="1" applyAlignment="1">
      <alignment horizontal="center" vertical="center"/>
    </xf>
    <xf numFmtId="0" fontId="0" fillId="0" borderId="13" xfId="0" applyBorder="1"/>
    <xf numFmtId="0" fontId="4" fillId="9" borderId="3" xfId="0" applyFont="1" applyFill="1" applyBorder="1" applyAlignment="1">
      <alignment horizontal="right" vertical="center"/>
    </xf>
    <xf numFmtId="0" fontId="32" fillId="1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b/>
        <sz val="9"/>
        <color rgb="FF808080"/>
        <name val="Arial"/>
        <charset val="1"/>
      </font>
      <fill>
        <patternFill>
          <bgColor rgb="FFF2F2F2"/>
        </patternFill>
      </fill>
    </dxf>
    <dxf>
      <font>
        <b/>
        <sz val="9"/>
        <color rgb="FF843C0C"/>
        <name val="Arial"/>
        <charset val="1"/>
      </font>
      <fill>
        <patternFill>
          <bgColor rgb="FFFFF2CC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7B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7B0000"/>
        <name val="Arial"/>
        <charset val="1"/>
      </font>
      <fill>
        <patternFill>
          <bgColor rgb="FFFCE4D6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7B0000"/>
        <name val="Arial"/>
        <charset val="1"/>
      </font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6B6B"/>
      <rgbColor rgb="FFBFBFBF"/>
      <rgbColor rgb="FF808080"/>
      <rgbColor rgb="FF9999FF"/>
      <rgbColor rgb="FF7030A0"/>
      <rgbColor rgb="FFFFF2CC"/>
      <rgbColor rgb="FFE0F2F1"/>
      <rgbColor rgb="FF660066"/>
      <rgbColor rgb="FFFF8080"/>
      <rgbColor rgb="FF2E5DA3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4EAFB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C9A227"/>
      <rgbColor rgb="FFC55A11"/>
      <rgbColor rgb="FF666699"/>
      <rgbColor rgb="FF969696"/>
      <rgbColor rgb="FF1F3864"/>
      <rgbColor rgb="FF339966"/>
      <rgbColor rgb="FF003300"/>
      <rgbColor rgb="FF375623"/>
      <rgbColor rgb="FF843C0C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424800</xdr:colOff>
      <xdr:row>1</xdr:row>
      <xdr:rowOff>158040</xdr:rowOff>
    </xdr:from>
    <xdr:to>
      <xdr:col>2</xdr:col>
      <xdr:colOff>3049560</xdr:colOff>
      <xdr:row>3</xdr:row>
      <xdr:rowOff>308160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0200" y="405720"/>
          <a:ext cx="2624760" cy="912240"/>
        </a:xfrm>
        <a:prstGeom prst="rect">
          <a:avLst/>
        </a:prstGeom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li.mammadov@unico.a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0"/>
  <sheetViews>
    <sheetView showGridLines="0" topLeftCell="A19" zoomScale="70" zoomScaleNormal="70" workbookViewId="0">
      <selection activeCell="F37" sqref="F37"/>
    </sheetView>
  </sheetViews>
  <sheetFormatPr defaultColWidth="8.6640625" defaultRowHeight="14.4" x14ac:dyDescent="0.3"/>
  <cols>
    <col min="1" max="1" width="2" style="46" customWidth="1"/>
    <col min="2" max="2" width="30" style="46" customWidth="1"/>
    <col min="3" max="3" width="48" style="46" customWidth="1"/>
    <col min="4" max="4" width="30" style="46" customWidth="1"/>
    <col min="5" max="5" width="2" style="46" customWidth="1"/>
  </cols>
  <sheetData>
    <row r="1" spans="2:4" ht="19.5" customHeight="1" x14ac:dyDescent="0.3"/>
    <row r="2" spans="2:4" ht="30" customHeight="1" x14ac:dyDescent="0.3">
      <c r="B2" s="52"/>
      <c r="C2" s="53"/>
      <c r="D2" s="53"/>
    </row>
    <row r="3" spans="2:4" ht="30" customHeight="1" x14ac:dyDescent="0.3">
      <c r="B3" s="53"/>
      <c r="C3" s="53"/>
      <c r="D3" s="53"/>
    </row>
    <row r="4" spans="2:4" ht="30" customHeight="1" x14ac:dyDescent="0.3">
      <c r="B4" s="53"/>
      <c r="C4" s="53"/>
      <c r="D4" s="53"/>
    </row>
    <row r="5" spans="2:4" ht="9.75" customHeight="1" x14ac:dyDescent="0.3"/>
    <row r="6" spans="2:4" ht="49.5" customHeight="1" x14ac:dyDescent="0.3">
      <c r="B6" s="62" t="s">
        <v>0</v>
      </c>
      <c r="C6" s="53"/>
      <c r="D6" s="53"/>
    </row>
    <row r="7" spans="2:4" ht="25.5" customHeight="1" x14ac:dyDescent="0.3">
      <c r="B7" s="72" t="s">
        <v>1</v>
      </c>
      <c r="C7" s="53"/>
      <c r="D7" s="53"/>
    </row>
    <row r="8" spans="2:4" ht="19.5" customHeight="1" x14ac:dyDescent="0.3"/>
    <row r="9" spans="2:4" ht="21.75" customHeight="1" x14ac:dyDescent="0.3">
      <c r="B9" s="59" t="s">
        <v>2</v>
      </c>
      <c r="C9" s="53"/>
      <c r="D9" s="53"/>
    </row>
    <row r="10" spans="2:4" ht="21.75" customHeight="1" x14ac:dyDescent="0.3">
      <c r="B10" s="1" t="s">
        <v>3</v>
      </c>
      <c r="C10" s="57" t="s">
        <v>4</v>
      </c>
      <c r="D10" s="55"/>
    </row>
    <row r="11" spans="2:4" ht="21.75" customHeight="1" x14ac:dyDescent="0.3">
      <c r="B11" s="1" t="s">
        <v>5</v>
      </c>
      <c r="C11" s="57">
        <v>238</v>
      </c>
      <c r="D11" s="55"/>
    </row>
    <row r="12" spans="2:4" ht="21.75" customHeight="1" x14ac:dyDescent="0.3">
      <c r="B12" s="1" t="s">
        <v>6</v>
      </c>
      <c r="C12" s="57" t="s">
        <v>7</v>
      </c>
      <c r="D12" s="55"/>
    </row>
    <row r="13" spans="2:4" ht="21.75" customHeight="1" x14ac:dyDescent="0.3">
      <c r="B13" s="1" t="s">
        <v>8</v>
      </c>
      <c r="C13" s="57" t="s">
        <v>9</v>
      </c>
      <c r="D13" s="55"/>
    </row>
    <row r="14" spans="2:4" ht="21.75" customHeight="1" x14ac:dyDescent="0.3">
      <c r="B14" s="1" t="s">
        <v>10</v>
      </c>
      <c r="C14" s="57" t="s">
        <v>11</v>
      </c>
      <c r="D14" s="55"/>
    </row>
    <row r="15" spans="2:4" ht="21.75" customHeight="1" x14ac:dyDescent="0.3">
      <c r="B15" s="1" t="s">
        <v>12</v>
      </c>
      <c r="C15" s="56">
        <v>46133</v>
      </c>
      <c r="D15" s="55"/>
    </row>
    <row r="16" spans="2:4" ht="21.75" customHeight="1" x14ac:dyDescent="0.3">
      <c r="B16" s="1" t="s">
        <v>13</v>
      </c>
      <c r="C16" s="56" t="s">
        <v>14</v>
      </c>
      <c r="D16" s="55"/>
    </row>
    <row r="17" spans="2:4" ht="21.75" customHeight="1" x14ac:dyDescent="0.3">
      <c r="B17" s="1" t="s">
        <v>15</v>
      </c>
      <c r="C17" s="73" t="str">
        <f>IF('2. A. Şirkət Profili'!E7="","(dolduruldukdan sonra avtomatik)",'2. A. Şirkət Profili'!E7)</f>
        <v>VVESA MMC</v>
      </c>
      <c r="D17" s="55"/>
    </row>
    <row r="18" spans="2:4" ht="12" customHeight="1" x14ac:dyDescent="0.3"/>
    <row r="19" spans="2:4" ht="21.75" customHeight="1" x14ac:dyDescent="0.3">
      <c r="B19" s="59" t="s">
        <v>16</v>
      </c>
      <c r="C19" s="53"/>
      <c r="D19" s="53"/>
    </row>
    <row r="20" spans="2:4" ht="19.5" customHeight="1" x14ac:dyDescent="0.3">
      <c r="B20" s="1" t="s">
        <v>17</v>
      </c>
      <c r="C20" s="54" t="str">
        <f>'2. A. Şirkət Profili'!E7</f>
        <v>VVESA MMC</v>
      </c>
      <c r="D20" s="55"/>
    </row>
    <row r="21" spans="2:4" ht="19.5" customHeight="1" x14ac:dyDescent="0.3">
      <c r="B21" s="1" t="s">
        <v>18</v>
      </c>
      <c r="C21" s="54" t="str">
        <f>'2. A. Şirkət Profili'!E9</f>
        <v>1003915341</v>
      </c>
      <c r="D21" s="55"/>
    </row>
    <row r="22" spans="2:4" ht="19.5" customHeight="1" x14ac:dyDescent="0.3">
      <c r="B22" s="1" t="s">
        <v>19</v>
      </c>
      <c r="C22" s="60">
        <f>'2. A. Şirkət Profili'!E10</f>
        <v>2015</v>
      </c>
      <c r="D22" s="55"/>
    </row>
    <row r="23" spans="2:4" ht="19.5" customHeight="1" x14ac:dyDescent="0.3">
      <c r="B23" s="1" t="s">
        <v>20</v>
      </c>
      <c r="C23" s="54" t="str">
        <f>'2. A. Şirkət Profili'!E11</f>
        <v>Bakı şəhəri, Nəsimi rayonu, Qulu Quliyev, ev 60, mənzil 4</v>
      </c>
      <c r="D23" s="55"/>
    </row>
    <row r="24" spans="2:4" ht="19.5" customHeight="1" x14ac:dyDescent="0.3">
      <c r="B24" s="1" t="s">
        <v>21</v>
      </c>
      <c r="C24" s="54" t="str">
        <f>'2. A. Şirkət Profili'!E12</f>
        <v>Həbib Atakişiyev</v>
      </c>
      <c r="D24" s="55"/>
    </row>
    <row r="25" spans="2:4" ht="19.5" customHeight="1" x14ac:dyDescent="0.3">
      <c r="B25" s="1" t="s">
        <v>22</v>
      </c>
      <c r="C25" s="54" t="str">
        <f>'2. A. Şirkət Profili'!E13</f>
        <v>CEO / Direktor</v>
      </c>
      <c r="D25" s="55"/>
    </row>
    <row r="26" spans="2:4" ht="19.5" customHeight="1" x14ac:dyDescent="0.3">
      <c r="B26" s="1" t="s">
        <v>23</v>
      </c>
      <c r="C26" s="54" t="str">
        <f>'2. A. Şirkət Profili'!E14</f>
        <v>+994 50 336 70 02</v>
      </c>
      <c r="D26" s="55"/>
    </row>
    <row r="27" spans="2:4" ht="19.5" customHeight="1" x14ac:dyDescent="0.3">
      <c r="B27" s="1" t="s">
        <v>24</v>
      </c>
      <c r="C27" s="54" t="str">
        <f>'2. A. Şirkət Profili'!E15</f>
        <v>habib.atakisiyev@wesa.az</v>
      </c>
      <c r="D27" s="55"/>
    </row>
    <row r="28" spans="2:4" ht="12" customHeight="1" x14ac:dyDescent="0.3"/>
    <row r="29" spans="2:4" ht="21.75" customHeight="1" x14ac:dyDescent="0.3">
      <c r="B29" s="58" t="s">
        <v>25</v>
      </c>
      <c r="C29" s="53"/>
      <c r="D29" s="53"/>
    </row>
    <row r="30" spans="2:4" ht="21.75" customHeight="1" x14ac:dyDescent="0.3">
      <c r="B30" s="64" t="s">
        <v>26</v>
      </c>
      <c r="C30" s="65"/>
      <c r="D30" s="66"/>
    </row>
    <row r="31" spans="2:4" ht="21.75" customHeight="1" x14ac:dyDescent="0.3">
      <c r="B31" s="67"/>
      <c r="C31" s="53"/>
      <c r="D31" s="68"/>
    </row>
    <row r="32" spans="2:4" ht="21.75" customHeight="1" x14ac:dyDescent="0.3">
      <c r="B32" s="67"/>
      <c r="C32" s="53"/>
      <c r="D32" s="68"/>
    </row>
    <row r="33" spans="2:4" ht="21.75" customHeight="1" x14ac:dyDescent="0.3">
      <c r="B33" s="67"/>
      <c r="C33" s="53"/>
      <c r="D33" s="68"/>
    </row>
    <row r="34" spans="2:4" ht="21.75" customHeight="1" x14ac:dyDescent="0.3">
      <c r="B34" s="69"/>
      <c r="C34" s="70"/>
      <c r="D34" s="71"/>
    </row>
    <row r="35" spans="2:4" ht="12" customHeight="1" x14ac:dyDescent="0.3"/>
    <row r="36" spans="2:4" ht="21.75" customHeight="1" x14ac:dyDescent="0.3">
      <c r="B36" s="63" t="s">
        <v>27</v>
      </c>
      <c r="C36" s="53"/>
      <c r="D36" s="53"/>
    </row>
    <row r="37" spans="2:4" ht="19.5" customHeight="1" x14ac:dyDescent="0.3">
      <c r="B37" s="2" t="s">
        <v>24</v>
      </c>
      <c r="C37" s="74" t="s">
        <v>28</v>
      </c>
      <c r="D37" s="55"/>
    </row>
    <row r="38" spans="2:4" ht="19.5" customHeight="1" x14ac:dyDescent="0.3">
      <c r="B38" s="2" t="s">
        <v>29</v>
      </c>
      <c r="C38" s="61" t="s">
        <v>11</v>
      </c>
      <c r="D38" s="55"/>
    </row>
    <row r="39" spans="2:4" ht="19.5" customHeight="1" x14ac:dyDescent="0.3">
      <c r="B39" s="2" t="s">
        <v>20</v>
      </c>
      <c r="C39" s="61" t="s">
        <v>30</v>
      </c>
      <c r="D39" s="55"/>
    </row>
    <row r="40" spans="2:4" ht="19.5" customHeight="1" x14ac:dyDescent="0.3">
      <c r="B40" s="2" t="s">
        <v>31</v>
      </c>
      <c r="C40" s="61" t="s">
        <v>32</v>
      </c>
      <c r="D40" s="55"/>
    </row>
  </sheetData>
  <mergeCells count="28">
    <mergeCell ref="C40:D40"/>
    <mergeCell ref="B6:D6"/>
    <mergeCell ref="C12:D12"/>
    <mergeCell ref="B36:D36"/>
    <mergeCell ref="C21:D21"/>
    <mergeCell ref="C11:D11"/>
    <mergeCell ref="C27:D27"/>
    <mergeCell ref="B30:D34"/>
    <mergeCell ref="B7:D7"/>
    <mergeCell ref="C17:D17"/>
    <mergeCell ref="C23:D23"/>
    <mergeCell ref="C39:D39"/>
    <mergeCell ref="C38:D38"/>
    <mergeCell ref="C37:D37"/>
    <mergeCell ref="C13:D13"/>
    <mergeCell ref="B2:D4"/>
    <mergeCell ref="C24:D24"/>
    <mergeCell ref="C15:D15"/>
    <mergeCell ref="C14:D14"/>
    <mergeCell ref="B29:D29"/>
    <mergeCell ref="C26:D26"/>
    <mergeCell ref="C20:D20"/>
    <mergeCell ref="B19:D19"/>
    <mergeCell ref="C10:D10"/>
    <mergeCell ref="C16:D16"/>
    <mergeCell ref="C25:D25"/>
    <mergeCell ref="B9:D9"/>
    <mergeCell ref="C22:D22"/>
  </mergeCells>
  <hyperlinks>
    <hyperlink ref="C37" r:id="rId1" xr:uid="{00000000-0004-0000-0000-000000000000}"/>
  </hyperlinks>
  <pageMargins left="0.4" right="0.4" top="0.5" bottom="0.5" header="0.3" footer="0.3"/>
  <pageSetup paperSize="9" fitToHeight="0" orientation="portrait" horizontalDpi="300" verticalDpi="30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36"/>
  <sheetViews>
    <sheetView showGridLines="0" tabSelected="1" zoomScale="70" zoomScaleNormal="70" workbookViewId="0">
      <selection activeCell="D31" sqref="D31"/>
    </sheetView>
  </sheetViews>
  <sheetFormatPr defaultColWidth="8.6640625" defaultRowHeight="14.4" x14ac:dyDescent="0.3"/>
  <cols>
    <col min="1" max="1" width="2" style="46" customWidth="1"/>
    <col min="2" max="2" width="5" style="46" customWidth="1"/>
    <col min="3" max="3" width="41.33203125" style="46" customWidth="1"/>
    <col min="4" max="4" width="56" style="46" customWidth="1"/>
    <col min="5" max="5" width="2" style="46" customWidth="1"/>
  </cols>
  <sheetData>
    <row r="1" spans="2:4" ht="4.5" customHeight="1" x14ac:dyDescent="0.3"/>
    <row r="2" spans="2:4" ht="36" customHeight="1" x14ac:dyDescent="0.3">
      <c r="B2" s="77" t="s">
        <v>33</v>
      </c>
      <c r="C2" s="53"/>
      <c r="D2" s="53"/>
    </row>
    <row r="3" spans="2:4" ht="19.5" customHeight="1" x14ac:dyDescent="0.3">
      <c r="B3" s="75" t="s">
        <v>34</v>
      </c>
      <c r="C3" s="53"/>
      <c r="D3" s="53"/>
    </row>
    <row r="4" spans="2:4" ht="7.5" customHeight="1" x14ac:dyDescent="0.3"/>
    <row r="5" spans="2:4" ht="21.75" customHeight="1" x14ac:dyDescent="0.3">
      <c r="B5" s="59" t="s">
        <v>35</v>
      </c>
      <c r="C5" s="53"/>
      <c r="D5" s="53"/>
    </row>
    <row r="6" spans="2:4" ht="21.75" customHeight="1" x14ac:dyDescent="0.3">
      <c r="B6" s="3" t="s">
        <v>36</v>
      </c>
      <c r="C6" s="1" t="s">
        <v>37</v>
      </c>
      <c r="D6" s="4" t="s">
        <v>38</v>
      </c>
    </row>
    <row r="7" spans="2:4" ht="21.75" customHeight="1" x14ac:dyDescent="0.3">
      <c r="B7" s="3" t="s">
        <v>39</v>
      </c>
      <c r="C7" s="5" t="s">
        <v>40</v>
      </c>
      <c r="D7" s="6" t="s">
        <v>41</v>
      </c>
    </row>
    <row r="8" spans="2:4" ht="21.75" customHeight="1" x14ac:dyDescent="0.3">
      <c r="B8" s="3" t="s">
        <v>42</v>
      </c>
      <c r="C8" s="1" t="s">
        <v>43</v>
      </c>
      <c r="D8" s="4" t="s">
        <v>44</v>
      </c>
    </row>
    <row r="9" spans="2:4" ht="21.75" customHeight="1" x14ac:dyDescent="0.3">
      <c r="B9" s="3" t="s">
        <v>45</v>
      </c>
      <c r="C9" s="5" t="s">
        <v>46</v>
      </c>
      <c r="D9" s="6" t="s">
        <v>47</v>
      </c>
    </row>
    <row r="10" spans="2:4" ht="21.75" customHeight="1" x14ac:dyDescent="0.3">
      <c r="B10" s="3" t="s">
        <v>48</v>
      </c>
      <c r="C10" s="1" t="s">
        <v>49</v>
      </c>
      <c r="D10" s="4" t="s">
        <v>50</v>
      </c>
    </row>
    <row r="11" spans="2:4" ht="21.75" customHeight="1" x14ac:dyDescent="0.3">
      <c r="B11" s="3" t="s">
        <v>51</v>
      </c>
      <c r="C11" s="5" t="s">
        <v>52</v>
      </c>
      <c r="D11" s="6" t="s">
        <v>53</v>
      </c>
    </row>
    <row r="12" spans="2:4" ht="21.75" customHeight="1" x14ac:dyDescent="0.3">
      <c r="B12" s="3" t="s">
        <v>54</v>
      </c>
      <c r="C12" s="1" t="s">
        <v>55</v>
      </c>
      <c r="D12" s="4" t="s">
        <v>56</v>
      </c>
    </row>
    <row r="13" spans="2:4" ht="21.75" customHeight="1" x14ac:dyDescent="0.3">
      <c r="B13" s="3" t="s">
        <v>57</v>
      </c>
      <c r="C13" s="5" t="s">
        <v>58</v>
      </c>
      <c r="D13" s="6" t="s">
        <v>59</v>
      </c>
    </row>
    <row r="14" spans="2:4" ht="21.75" customHeight="1" x14ac:dyDescent="0.3">
      <c r="B14" s="3" t="s">
        <v>60</v>
      </c>
      <c r="C14" s="1" t="s">
        <v>61</v>
      </c>
      <c r="D14" s="4" t="s">
        <v>62</v>
      </c>
    </row>
    <row r="15" spans="2:4" ht="21.75" customHeight="1" x14ac:dyDescent="0.3">
      <c r="B15" s="3" t="s">
        <v>63</v>
      </c>
      <c r="C15" s="5" t="s">
        <v>64</v>
      </c>
      <c r="D15" s="6" t="s">
        <v>65</v>
      </c>
    </row>
    <row r="16" spans="2:4" ht="21.75" customHeight="1" x14ac:dyDescent="0.3">
      <c r="B16" s="3" t="s">
        <v>66</v>
      </c>
      <c r="C16" s="1" t="s">
        <v>67</v>
      </c>
      <c r="D16" s="4" t="s">
        <v>68</v>
      </c>
    </row>
    <row r="17" spans="2:4" ht="9.75" customHeight="1" x14ac:dyDescent="0.3"/>
    <row r="18" spans="2:4" ht="21.75" customHeight="1" x14ac:dyDescent="0.3">
      <c r="B18" s="59" t="s">
        <v>69</v>
      </c>
      <c r="C18" s="53"/>
      <c r="D18" s="53"/>
    </row>
    <row r="19" spans="2:4" ht="21.75" customHeight="1" x14ac:dyDescent="0.3">
      <c r="B19" s="7"/>
      <c r="C19" s="5" t="s">
        <v>70</v>
      </c>
      <c r="D19" s="6" t="s">
        <v>71</v>
      </c>
    </row>
    <row r="20" spans="2:4" ht="21.75" customHeight="1" x14ac:dyDescent="0.3">
      <c r="B20" s="8"/>
      <c r="C20" s="5" t="s">
        <v>72</v>
      </c>
      <c r="D20" s="6" t="s">
        <v>73</v>
      </c>
    </row>
    <row r="21" spans="2:4" ht="21.75" customHeight="1" x14ac:dyDescent="0.3">
      <c r="B21" s="9"/>
      <c r="C21" s="5" t="s">
        <v>74</v>
      </c>
      <c r="D21" s="6" t="s">
        <v>75</v>
      </c>
    </row>
    <row r="22" spans="2:4" ht="21.75" customHeight="1" x14ac:dyDescent="0.3">
      <c r="B22" s="10"/>
      <c r="C22" s="5" t="s">
        <v>76</v>
      </c>
      <c r="D22" s="6" t="s">
        <v>77</v>
      </c>
    </row>
    <row r="23" spans="2:4" ht="21.75" customHeight="1" x14ac:dyDescent="0.3">
      <c r="B23" s="11"/>
      <c r="C23" s="5" t="s">
        <v>78</v>
      </c>
      <c r="D23" s="6" t="s">
        <v>79</v>
      </c>
    </row>
    <row r="24" spans="2:4" ht="9.75" customHeight="1" x14ac:dyDescent="0.3"/>
    <row r="25" spans="2:4" ht="21.75" customHeight="1" x14ac:dyDescent="0.3">
      <c r="B25" s="59" t="s">
        <v>80</v>
      </c>
      <c r="C25" s="53"/>
      <c r="D25" s="53"/>
    </row>
    <row r="26" spans="2:4" ht="39.75" customHeight="1" x14ac:dyDescent="0.3">
      <c r="B26" s="12" t="s">
        <v>39</v>
      </c>
      <c r="C26" s="13" t="s">
        <v>81</v>
      </c>
      <c r="D26" s="6" t="s">
        <v>82</v>
      </c>
    </row>
    <row r="27" spans="2:4" ht="39.75" customHeight="1" x14ac:dyDescent="0.3">
      <c r="B27" s="12" t="s">
        <v>42</v>
      </c>
      <c r="C27" s="13" t="s">
        <v>83</v>
      </c>
      <c r="D27" s="6" t="s">
        <v>84</v>
      </c>
    </row>
    <row r="28" spans="2:4" ht="39.75" customHeight="1" x14ac:dyDescent="0.3">
      <c r="B28" s="12" t="s">
        <v>45</v>
      </c>
      <c r="C28" s="13" t="s">
        <v>85</v>
      </c>
      <c r="D28" s="6" t="s">
        <v>86</v>
      </c>
    </row>
    <row r="29" spans="2:4" ht="39.75" customHeight="1" x14ac:dyDescent="0.3">
      <c r="B29" s="12" t="s">
        <v>48</v>
      </c>
      <c r="C29" s="13" t="s">
        <v>87</v>
      </c>
      <c r="D29" s="6" t="s">
        <v>88</v>
      </c>
    </row>
    <row r="30" spans="2:4" ht="39.75" customHeight="1" x14ac:dyDescent="0.3">
      <c r="B30" s="12" t="s">
        <v>51</v>
      </c>
      <c r="C30" s="13" t="s">
        <v>89</v>
      </c>
      <c r="D30" s="6" t="s">
        <v>90</v>
      </c>
    </row>
    <row r="31" spans="2:4" ht="39.75" customHeight="1" x14ac:dyDescent="0.3">
      <c r="B31" s="12" t="s">
        <v>54</v>
      </c>
      <c r="C31" s="13" t="s">
        <v>91</v>
      </c>
      <c r="D31" s="6" t="s">
        <v>92</v>
      </c>
    </row>
    <row r="32" spans="2:4" ht="39.75" customHeight="1" x14ac:dyDescent="0.3">
      <c r="B32" s="12" t="s">
        <v>57</v>
      </c>
      <c r="C32" s="13" t="s">
        <v>93</v>
      </c>
      <c r="D32" s="6" t="s">
        <v>94</v>
      </c>
    </row>
    <row r="33" spans="2:4" ht="39.75" customHeight="1" x14ac:dyDescent="0.3">
      <c r="B33" s="12" t="s">
        <v>60</v>
      </c>
      <c r="C33" s="13" t="s">
        <v>95</v>
      </c>
      <c r="D33" s="6" t="s">
        <v>96</v>
      </c>
    </row>
    <row r="34" spans="2:4" ht="9.75" customHeight="1" x14ac:dyDescent="0.3"/>
    <row r="35" spans="2:4" ht="21.75" customHeight="1" x14ac:dyDescent="0.3">
      <c r="B35" s="76" t="s">
        <v>97</v>
      </c>
      <c r="C35" s="65"/>
      <c r="D35" s="65"/>
    </row>
    <row r="36" spans="2:4" ht="21.75" customHeight="1" x14ac:dyDescent="0.3">
      <c r="B36" s="67"/>
      <c r="C36" s="53"/>
      <c r="D36" s="53"/>
    </row>
  </sheetData>
  <mergeCells count="6">
    <mergeCell ref="B2:D2"/>
    <mergeCell ref="B3:D3"/>
    <mergeCell ref="B5:D5"/>
    <mergeCell ref="B35:D36"/>
    <mergeCell ref="B18:D18"/>
    <mergeCell ref="B25:D25"/>
  </mergeCells>
  <pageMargins left="0.4" right="0.4" top="0.5" bottom="0.5" header="0.3" footer="0.3"/>
  <pageSetup paperSize="9"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8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19" sqref="A19"/>
      <selection pane="bottomRight" activeCell="E28" sqref="E28"/>
    </sheetView>
  </sheetViews>
  <sheetFormatPr defaultColWidth="8.6640625" defaultRowHeight="14.4" x14ac:dyDescent="0.3"/>
  <cols>
    <col min="1" max="1" width="2" style="46" customWidth="1"/>
    <col min="2" max="2" width="6" style="46" customWidth="1"/>
    <col min="3" max="3" width="48" style="46" customWidth="1"/>
    <col min="4" max="4" width="14" style="46" customWidth="1"/>
    <col min="5" max="5" width="57.21875" style="46" customWidth="1"/>
    <col min="6" max="6" width="18" style="46" customWidth="1"/>
    <col min="7" max="7" width="2" style="46" customWidth="1"/>
  </cols>
  <sheetData>
    <row r="1" spans="2:6" ht="4.5" customHeight="1" x14ac:dyDescent="0.3"/>
    <row r="2" spans="2:6" ht="31.5" customHeight="1" x14ac:dyDescent="0.3">
      <c r="B2" s="77" t="s">
        <v>98</v>
      </c>
      <c r="C2" s="53"/>
      <c r="D2" s="53"/>
      <c r="E2" s="53"/>
      <c r="F2" s="53"/>
    </row>
    <row r="3" spans="2:6" ht="18" customHeight="1" x14ac:dyDescent="0.3">
      <c r="B3" s="80" t="s">
        <v>99</v>
      </c>
      <c r="C3" s="53"/>
      <c r="D3" s="53"/>
      <c r="E3" s="53"/>
      <c r="F3" s="53"/>
    </row>
    <row r="4" spans="2:6" ht="15.75" customHeight="1" x14ac:dyDescent="0.3">
      <c r="B4" s="78" t="s">
        <v>100</v>
      </c>
      <c r="C4" s="53"/>
      <c r="D4" s="53"/>
      <c r="E4" s="53"/>
      <c r="F4" s="53"/>
    </row>
    <row r="5" spans="2:6" ht="6" customHeight="1" x14ac:dyDescent="0.3"/>
    <row r="6" spans="2:6" ht="31.5" customHeight="1" x14ac:dyDescent="0.3">
      <c r="B6" s="14" t="s">
        <v>101</v>
      </c>
      <c r="C6" s="14" t="s">
        <v>102</v>
      </c>
      <c r="D6" s="14" t="s">
        <v>103</v>
      </c>
      <c r="E6" s="14" t="s">
        <v>104</v>
      </c>
      <c r="F6" s="14" t="s">
        <v>105</v>
      </c>
    </row>
    <row r="7" spans="2:6" ht="19.5" customHeight="1" x14ac:dyDescent="0.3">
      <c r="B7" s="15" t="s">
        <v>106</v>
      </c>
      <c r="C7" s="6" t="s">
        <v>107</v>
      </c>
      <c r="D7" s="16" t="s">
        <v>108</v>
      </c>
      <c r="E7" s="17" t="s">
        <v>109</v>
      </c>
      <c r="F7" s="18" t="s">
        <v>110</v>
      </c>
    </row>
    <row r="8" spans="2:6" ht="19.5" customHeight="1" x14ac:dyDescent="0.3">
      <c r="B8" s="19" t="s">
        <v>111</v>
      </c>
      <c r="C8" s="4" t="s">
        <v>112</v>
      </c>
      <c r="D8" s="16" t="s">
        <v>113</v>
      </c>
      <c r="E8" s="17" t="s">
        <v>114</v>
      </c>
      <c r="F8" s="18" t="s">
        <v>115</v>
      </c>
    </row>
    <row r="9" spans="2:6" ht="19.5" customHeight="1" x14ac:dyDescent="0.3">
      <c r="B9" s="15" t="s">
        <v>116</v>
      </c>
      <c r="C9" s="6" t="s">
        <v>117</v>
      </c>
      <c r="D9" s="16" t="s">
        <v>118</v>
      </c>
      <c r="E9" s="17" t="s">
        <v>119</v>
      </c>
      <c r="F9" s="18" t="s">
        <v>115</v>
      </c>
    </row>
    <row r="10" spans="2:6" ht="19.5" customHeight="1" x14ac:dyDescent="0.3">
      <c r="B10" s="19" t="s">
        <v>120</v>
      </c>
      <c r="C10" s="4" t="s">
        <v>121</v>
      </c>
      <c r="D10" s="16" t="s">
        <v>122</v>
      </c>
      <c r="E10" s="20">
        <v>2015</v>
      </c>
      <c r="F10" s="18" t="s">
        <v>115</v>
      </c>
    </row>
    <row r="11" spans="2:6" ht="19.5" customHeight="1" x14ac:dyDescent="0.3">
      <c r="B11" s="15" t="s">
        <v>123</v>
      </c>
      <c r="C11" s="6" t="s">
        <v>124</v>
      </c>
      <c r="D11" s="16" t="s">
        <v>108</v>
      </c>
      <c r="E11" s="17" t="s">
        <v>125</v>
      </c>
      <c r="F11" s="18" t="s">
        <v>126</v>
      </c>
    </row>
    <row r="12" spans="2:6" ht="19.5" customHeight="1" x14ac:dyDescent="0.3">
      <c r="B12" s="19" t="s">
        <v>127</v>
      </c>
      <c r="C12" s="4" t="s">
        <v>128</v>
      </c>
      <c r="D12" s="16" t="s">
        <v>108</v>
      </c>
      <c r="E12" s="17" t="s">
        <v>129</v>
      </c>
      <c r="F12" s="18" t="s">
        <v>130</v>
      </c>
    </row>
    <row r="13" spans="2:6" ht="19.5" customHeight="1" x14ac:dyDescent="0.3">
      <c r="B13" s="15" t="s">
        <v>131</v>
      </c>
      <c r="C13" s="6" t="s">
        <v>132</v>
      </c>
      <c r="D13" s="16" t="s">
        <v>108</v>
      </c>
      <c r="E13" s="17" t="s">
        <v>133</v>
      </c>
      <c r="F13" s="18" t="s">
        <v>130</v>
      </c>
    </row>
    <row r="14" spans="2:6" ht="19.5" customHeight="1" x14ac:dyDescent="0.3">
      <c r="B14" s="19" t="s">
        <v>134</v>
      </c>
      <c r="C14" s="4" t="s">
        <v>135</v>
      </c>
      <c r="D14" s="16" t="s">
        <v>136</v>
      </c>
      <c r="E14" s="17" t="s">
        <v>137</v>
      </c>
      <c r="F14" s="18" t="s">
        <v>130</v>
      </c>
    </row>
    <row r="15" spans="2:6" ht="19.5" customHeight="1" x14ac:dyDescent="0.3">
      <c r="B15" s="15" t="s">
        <v>138</v>
      </c>
      <c r="C15" s="6" t="s">
        <v>139</v>
      </c>
      <c r="D15" s="16" t="s">
        <v>139</v>
      </c>
      <c r="E15" s="17" t="s">
        <v>140</v>
      </c>
      <c r="F15" s="18" t="s">
        <v>130</v>
      </c>
    </row>
    <row r="16" spans="2:6" ht="19.5" customHeight="1" x14ac:dyDescent="0.3">
      <c r="B16" s="19" t="s">
        <v>141</v>
      </c>
      <c r="C16" s="4" t="s">
        <v>142</v>
      </c>
      <c r="D16" s="16" t="s">
        <v>143</v>
      </c>
      <c r="E16" s="17" t="s">
        <v>144</v>
      </c>
      <c r="F16" s="18" t="s">
        <v>130</v>
      </c>
    </row>
    <row r="17" spans="2:6" ht="21.75" customHeight="1" x14ac:dyDescent="0.3">
      <c r="B17" s="79" t="s">
        <v>145</v>
      </c>
      <c r="C17" s="53"/>
      <c r="D17" s="53"/>
      <c r="E17" s="53"/>
      <c r="F17" s="53"/>
    </row>
    <row r="18" spans="2:6" ht="24" customHeight="1" x14ac:dyDescent="0.3">
      <c r="B18" s="19" t="s">
        <v>146</v>
      </c>
      <c r="C18" s="4" t="s">
        <v>147</v>
      </c>
      <c r="D18" s="16" t="s">
        <v>148</v>
      </c>
      <c r="E18" s="17" t="s">
        <v>149</v>
      </c>
      <c r="F18" s="18" t="s">
        <v>150</v>
      </c>
    </row>
    <row r="19" spans="2:6" ht="19.5" customHeight="1" x14ac:dyDescent="0.3">
      <c r="B19" s="15" t="s">
        <v>151</v>
      </c>
      <c r="C19" s="6" t="s">
        <v>152</v>
      </c>
      <c r="D19" s="16" t="s">
        <v>113</v>
      </c>
      <c r="E19" s="17" t="s">
        <v>153</v>
      </c>
      <c r="F19" s="18" t="s">
        <v>150</v>
      </c>
    </row>
    <row r="20" spans="2:6" ht="19.5" customHeight="1" x14ac:dyDescent="0.3">
      <c r="B20" s="19" t="s">
        <v>154</v>
      </c>
      <c r="C20" s="4" t="s">
        <v>155</v>
      </c>
      <c r="D20" s="16" t="s">
        <v>156</v>
      </c>
      <c r="E20" s="21" t="s">
        <v>157</v>
      </c>
      <c r="F20" s="18" t="s">
        <v>150</v>
      </c>
    </row>
    <row r="21" spans="2:6" ht="19.5" customHeight="1" x14ac:dyDescent="0.3">
      <c r="B21" s="15" t="s">
        <v>158</v>
      </c>
      <c r="C21" s="6" t="s">
        <v>159</v>
      </c>
      <c r="D21" s="16" t="s">
        <v>156</v>
      </c>
      <c r="E21" s="21" t="s">
        <v>160</v>
      </c>
      <c r="F21" s="18" t="s">
        <v>150</v>
      </c>
    </row>
    <row r="22" spans="2:6" ht="24" customHeight="1" x14ac:dyDescent="0.3">
      <c r="B22" s="19" t="s">
        <v>161</v>
      </c>
      <c r="C22" s="4" t="s">
        <v>162</v>
      </c>
      <c r="D22" s="16" t="s">
        <v>148</v>
      </c>
      <c r="E22" s="17" t="s">
        <v>149</v>
      </c>
      <c r="F22" s="18" t="s">
        <v>163</v>
      </c>
    </row>
    <row r="23" spans="2:6" ht="19.5" customHeight="1" x14ac:dyDescent="0.3">
      <c r="B23" s="15" t="s">
        <v>164</v>
      </c>
      <c r="C23" s="6" t="s">
        <v>165</v>
      </c>
      <c r="D23" s="16" t="s">
        <v>156</v>
      </c>
      <c r="E23" s="21">
        <v>44102</v>
      </c>
      <c r="F23" s="18" t="s">
        <v>163</v>
      </c>
    </row>
    <row r="24" spans="2:6" ht="21.75" customHeight="1" x14ac:dyDescent="0.3">
      <c r="B24" s="79" t="s">
        <v>166</v>
      </c>
      <c r="C24" s="53"/>
      <c r="D24" s="53"/>
      <c r="E24" s="53"/>
      <c r="F24" s="53"/>
    </row>
    <row r="25" spans="2:6" ht="19.5" customHeight="1" x14ac:dyDescent="0.3">
      <c r="B25" s="15" t="s">
        <v>167</v>
      </c>
      <c r="C25" s="6" t="s">
        <v>168</v>
      </c>
      <c r="D25" s="16" t="s">
        <v>108</v>
      </c>
      <c r="E25" s="17" t="s">
        <v>169</v>
      </c>
      <c r="F25" s="18" t="s">
        <v>126</v>
      </c>
    </row>
    <row r="26" spans="2:6" ht="19.5" customHeight="1" x14ac:dyDescent="0.3">
      <c r="B26" s="19" t="s">
        <v>170</v>
      </c>
      <c r="C26" s="4" t="s">
        <v>171</v>
      </c>
      <c r="D26" s="16" t="s">
        <v>172</v>
      </c>
      <c r="E26" s="20">
        <v>3</v>
      </c>
      <c r="F26" s="18" t="s">
        <v>173</v>
      </c>
    </row>
    <row r="27" spans="2:6" ht="19.5" customHeight="1" x14ac:dyDescent="0.3">
      <c r="B27" s="15" t="s">
        <v>174</v>
      </c>
      <c r="C27" s="6" t="s">
        <v>175</v>
      </c>
      <c r="D27" s="16" t="s">
        <v>176</v>
      </c>
      <c r="E27" s="22">
        <v>20</v>
      </c>
      <c r="F27" s="18" t="s">
        <v>126</v>
      </c>
    </row>
    <row r="28" spans="2:6" ht="19.5" customHeight="1" x14ac:dyDescent="0.3">
      <c r="B28" s="19" t="s">
        <v>177</v>
      </c>
      <c r="C28" s="4" t="s">
        <v>178</v>
      </c>
      <c r="D28" s="16" t="s">
        <v>179</v>
      </c>
      <c r="E28" s="17" t="s">
        <v>180</v>
      </c>
      <c r="F28" s="18" t="s">
        <v>181</v>
      </c>
    </row>
  </sheetData>
  <mergeCells count="5">
    <mergeCell ref="B4:F4"/>
    <mergeCell ref="B24:F24"/>
    <mergeCell ref="B2:F2"/>
    <mergeCell ref="B3:F3"/>
    <mergeCell ref="B17:F17"/>
  </mergeCells>
  <conditionalFormatting sqref="E18">
    <cfRule type="expression" dxfId="8" priority="2">
      <formula>OR(E18="",E18="Yoxdur")</formula>
    </cfRule>
    <cfRule type="expression" dxfId="7" priority="3">
      <formula>E18="Var"</formula>
    </cfRule>
  </conditionalFormatting>
  <conditionalFormatting sqref="E22">
    <cfRule type="expression" dxfId="6" priority="4">
      <formula>OR(E22="",E22="Yoxdur")</formula>
    </cfRule>
    <cfRule type="expression" dxfId="5" priority="5">
      <formula>E22="Var"</formula>
    </cfRule>
  </conditionalFormatting>
  <dataValidations count="1">
    <dataValidation type="list" allowBlank="1" sqref="E18 E22" xr:uid="{00000000-0002-0000-0200-000000000000}">
      <formula1>"Var,Yoxdur"</formula1>
      <formula2>0</formula2>
    </dataValidation>
  </dataValidations>
  <pageMargins left="0.4" right="0.4" top="0.5" bottom="0.5" header="0.3" footer="0.3"/>
  <pageSetup paperSize="9"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22"/>
  <sheetViews>
    <sheetView showGridLines="0" zoomScale="130" zoomScaleNormal="130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E10" sqref="E10"/>
    </sheetView>
  </sheetViews>
  <sheetFormatPr defaultColWidth="8.6640625" defaultRowHeight="14.4" x14ac:dyDescent="0.3"/>
  <cols>
    <col min="1" max="1" width="2" style="46" customWidth="1"/>
    <col min="2" max="2" width="6" style="46" customWidth="1"/>
    <col min="3" max="3" width="48" style="46" customWidth="1"/>
    <col min="4" max="4" width="14" style="46" customWidth="1"/>
    <col min="5" max="5" width="37.33203125" style="46" customWidth="1"/>
    <col min="6" max="6" width="18" style="46" customWidth="1"/>
    <col min="7" max="7" width="2" style="46" customWidth="1"/>
  </cols>
  <sheetData>
    <row r="1" spans="2:6" ht="4.5" customHeight="1" x14ac:dyDescent="0.3"/>
    <row r="2" spans="2:6" ht="31.5" customHeight="1" x14ac:dyDescent="0.3">
      <c r="B2" s="77" t="s">
        <v>182</v>
      </c>
      <c r="C2" s="53"/>
      <c r="D2" s="53"/>
      <c r="E2" s="53"/>
      <c r="F2" s="53"/>
    </row>
    <row r="3" spans="2:6" ht="18" customHeight="1" x14ac:dyDescent="0.3">
      <c r="B3" s="80" t="s">
        <v>183</v>
      </c>
      <c r="C3" s="53"/>
      <c r="D3" s="53"/>
      <c r="E3" s="53"/>
      <c r="F3" s="53"/>
    </row>
    <row r="4" spans="2:6" ht="15.75" customHeight="1" x14ac:dyDescent="0.3">
      <c r="B4" s="78" t="s">
        <v>100</v>
      </c>
      <c r="C4" s="53"/>
      <c r="D4" s="53"/>
      <c r="E4" s="53"/>
      <c r="F4" s="53"/>
    </row>
    <row r="5" spans="2:6" ht="6" customHeight="1" x14ac:dyDescent="0.3"/>
    <row r="6" spans="2:6" ht="31.5" customHeight="1" x14ac:dyDescent="0.3">
      <c r="B6" s="14" t="s">
        <v>101</v>
      </c>
      <c r="C6" s="14" t="s">
        <v>102</v>
      </c>
      <c r="D6" s="14" t="s">
        <v>103</v>
      </c>
      <c r="E6" s="14" t="s">
        <v>104</v>
      </c>
      <c r="F6" s="14" t="s">
        <v>105</v>
      </c>
    </row>
    <row r="7" spans="2:6" ht="21.75" customHeight="1" x14ac:dyDescent="0.3">
      <c r="B7" s="79" t="s">
        <v>184</v>
      </c>
      <c r="C7" s="53"/>
      <c r="D7" s="53"/>
      <c r="E7" s="53"/>
      <c r="F7" s="53"/>
    </row>
    <row r="8" spans="2:6" ht="19.5" customHeight="1" x14ac:dyDescent="0.3">
      <c r="B8" s="19" t="s">
        <v>185</v>
      </c>
      <c r="C8" s="4" t="s">
        <v>186</v>
      </c>
      <c r="D8" s="16" t="s">
        <v>176</v>
      </c>
      <c r="E8" s="22">
        <v>7678681.3099999996</v>
      </c>
      <c r="F8" s="18" t="s">
        <v>187</v>
      </c>
    </row>
    <row r="9" spans="2:6" ht="19.5" customHeight="1" x14ac:dyDescent="0.3">
      <c r="B9" s="15" t="s">
        <v>188</v>
      </c>
      <c r="C9" s="6" t="s">
        <v>189</v>
      </c>
      <c r="D9" s="16" t="s">
        <v>176</v>
      </c>
      <c r="E9" s="22">
        <v>5275759.1500000004</v>
      </c>
      <c r="F9" s="18" t="s">
        <v>187</v>
      </c>
    </row>
    <row r="10" spans="2:6" ht="19.5" customHeight="1" x14ac:dyDescent="0.3">
      <c r="B10" s="19" t="s">
        <v>190</v>
      </c>
      <c r="C10" s="4" t="s">
        <v>191</v>
      </c>
      <c r="D10" s="16" t="s">
        <v>176</v>
      </c>
      <c r="E10" s="22">
        <v>2612893.6800000002</v>
      </c>
      <c r="F10" s="18" t="s">
        <v>187</v>
      </c>
    </row>
    <row r="11" spans="2:6" ht="21.75" customHeight="1" x14ac:dyDescent="0.3">
      <c r="B11" s="23" t="s">
        <v>192</v>
      </c>
      <c r="C11" s="24" t="s">
        <v>193</v>
      </c>
      <c r="D11" s="25" t="s">
        <v>176</v>
      </c>
      <c r="E11" s="26">
        <f>IFERROR(AVERAGE(E8:E10),0)</f>
        <v>5189111.38</v>
      </c>
      <c r="F11" s="23" t="s">
        <v>130</v>
      </c>
    </row>
    <row r="12" spans="2:6" ht="21.75" customHeight="1" x14ac:dyDescent="0.3">
      <c r="B12" s="79" t="s">
        <v>194</v>
      </c>
      <c r="C12" s="53"/>
      <c r="D12" s="53"/>
      <c r="E12" s="53"/>
      <c r="F12" s="53"/>
    </row>
    <row r="13" spans="2:6" ht="19.5" customHeight="1" x14ac:dyDescent="0.3">
      <c r="B13" s="15" t="s">
        <v>195</v>
      </c>
      <c r="C13" s="6" t="s">
        <v>196</v>
      </c>
      <c r="D13" s="16" t="s">
        <v>176</v>
      </c>
      <c r="E13" s="22">
        <v>1208443.06</v>
      </c>
      <c r="F13" s="18" t="s">
        <v>197</v>
      </c>
    </row>
    <row r="14" spans="2:6" ht="19.5" customHeight="1" x14ac:dyDescent="0.3">
      <c r="B14" s="19" t="s">
        <v>198</v>
      </c>
      <c r="C14" s="4" t="s">
        <v>199</v>
      </c>
      <c r="D14" s="16" t="s">
        <v>176</v>
      </c>
      <c r="E14" s="22">
        <v>5029957.95</v>
      </c>
      <c r="F14" s="18" t="s">
        <v>197</v>
      </c>
    </row>
    <row r="15" spans="2:6" ht="19.5" customHeight="1" x14ac:dyDescent="0.3">
      <c r="B15" s="15" t="s">
        <v>200</v>
      </c>
      <c r="C15" s="6" t="s">
        <v>201</v>
      </c>
      <c r="D15" s="16" t="s">
        <v>176</v>
      </c>
      <c r="E15" s="22">
        <v>4280808.3684</v>
      </c>
      <c r="F15" s="18" t="s">
        <v>197</v>
      </c>
    </row>
    <row r="16" spans="2:6" ht="21.75" customHeight="1" x14ac:dyDescent="0.3">
      <c r="B16" s="23" t="s">
        <v>202</v>
      </c>
      <c r="C16" s="24" t="s">
        <v>203</v>
      </c>
      <c r="D16" s="25" t="s">
        <v>204</v>
      </c>
      <c r="E16" s="27">
        <f>IFERROR(E14/E15,0)</f>
        <v>1.1750018961675697</v>
      </c>
      <c r="F16" s="23" t="s">
        <v>130</v>
      </c>
    </row>
    <row r="17" spans="2:6" ht="21.75" customHeight="1" x14ac:dyDescent="0.3">
      <c r="B17" s="79" t="s">
        <v>205</v>
      </c>
      <c r="C17" s="53"/>
      <c r="D17" s="53"/>
      <c r="E17" s="53"/>
      <c r="F17" s="53"/>
    </row>
    <row r="18" spans="2:6" ht="19.5" customHeight="1" x14ac:dyDescent="0.3">
      <c r="B18" s="19" t="s">
        <v>206</v>
      </c>
      <c r="C18" s="4" t="s">
        <v>207</v>
      </c>
      <c r="D18" s="16" t="s">
        <v>148</v>
      </c>
      <c r="E18" s="17" t="s">
        <v>149</v>
      </c>
      <c r="F18" s="18" t="s">
        <v>208</v>
      </c>
    </row>
    <row r="19" spans="2:6" ht="19.5" customHeight="1" x14ac:dyDescent="0.3">
      <c r="B19" s="15" t="s">
        <v>209</v>
      </c>
      <c r="C19" s="6" t="s">
        <v>210</v>
      </c>
      <c r="D19" s="16" t="s">
        <v>176</v>
      </c>
      <c r="E19" s="22">
        <v>1200000</v>
      </c>
      <c r="F19" s="18" t="s">
        <v>208</v>
      </c>
    </row>
    <row r="20" spans="2:6" ht="19.5" customHeight="1" x14ac:dyDescent="0.3">
      <c r="B20" s="19" t="s">
        <v>211</v>
      </c>
      <c r="C20" s="4" t="s">
        <v>212</v>
      </c>
      <c r="D20" s="16" t="s">
        <v>108</v>
      </c>
      <c r="E20" s="17" t="s">
        <v>213</v>
      </c>
      <c r="F20" s="18" t="s">
        <v>208</v>
      </c>
    </row>
    <row r="21" spans="2:6" ht="19.5" customHeight="1" x14ac:dyDescent="0.3">
      <c r="B21" s="15" t="s">
        <v>214</v>
      </c>
      <c r="C21" s="6" t="s">
        <v>215</v>
      </c>
      <c r="D21" s="16" t="s">
        <v>148</v>
      </c>
      <c r="E21" s="17" t="s">
        <v>149</v>
      </c>
      <c r="F21" s="18" t="s">
        <v>216</v>
      </c>
    </row>
    <row r="22" spans="2:6" ht="19.5" customHeight="1" x14ac:dyDescent="0.3">
      <c r="B22" s="19" t="s">
        <v>217</v>
      </c>
      <c r="C22" s="4" t="s">
        <v>218</v>
      </c>
      <c r="D22" s="16" t="s">
        <v>108</v>
      </c>
      <c r="E22" s="17" t="s">
        <v>219</v>
      </c>
      <c r="F22" s="18" t="s">
        <v>216</v>
      </c>
    </row>
  </sheetData>
  <mergeCells count="6">
    <mergeCell ref="B17:F17"/>
    <mergeCell ref="B4:F4"/>
    <mergeCell ref="B12:F12"/>
    <mergeCell ref="B7:F7"/>
    <mergeCell ref="B2:F2"/>
    <mergeCell ref="B3:F3"/>
  </mergeCells>
  <dataValidations count="1">
    <dataValidation type="list" allowBlank="1" sqref="E18 E21" xr:uid="{00000000-0002-0000-0300-000000000000}">
      <formula1>"Var,Yoxdur"</formula1>
      <formula2>0</formula2>
    </dataValidation>
  </dataValidations>
  <pageMargins left="0.4" right="0.4" top="0.5" bottom="0.5" header="0.3" footer="0.3"/>
  <pageSetup paperSize="9"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34"/>
  <sheetViews>
    <sheetView showGridLines="0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H16" sqref="H16"/>
    </sheetView>
  </sheetViews>
  <sheetFormatPr defaultColWidth="8.6640625" defaultRowHeight="14.4" x14ac:dyDescent="0.3"/>
  <cols>
    <col min="1" max="1" width="2" style="46" customWidth="1"/>
    <col min="2" max="2" width="6" style="46" customWidth="1"/>
    <col min="3" max="3" width="34" style="46" customWidth="1"/>
    <col min="4" max="4" width="22" style="46" customWidth="1"/>
    <col min="5" max="5" width="14" style="46" customWidth="1"/>
    <col min="6" max="7" width="12" style="46" customWidth="1"/>
    <col min="8" max="8" width="18" style="46" customWidth="1"/>
    <col min="9" max="9" width="16" style="46" customWidth="1"/>
    <col min="10" max="10" width="2" style="46" customWidth="1"/>
  </cols>
  <sheetData>
    <row r="1" spans="2:9" ht="4.5" customHeight="1" x14ac:dyDescent="0.3"/>
    <row r="2" spans="2:9" ht="31.5" customHeight="1" x14ac:dyDescent="0.3">
      <c r="B2" s="77" t="s">
        <v>220</v>
      </c>
      <c r="C2" s="53"/>
      <c r="D2" s="53"/>
      <c r="E2" s="53"/>
      <c r="F2" s="53"/>
      <c r="G2" s="53"/>
      <c r="H2" s="53"/>
      <c r="I2" s="53"/>
    </row>
    <row r="3" spans="2:9" ht="18" customHeight="1" x14ac:dyDescent="0.3">
      <c r="B3" s="80" t="s">
        <v>221</v>
      </c>
      <c r="C3" s="53"/>
      <c r="D3" s="53"/>
      <c r="E3" s="53"/>
      <c r="F3" s="53"/>
      <c r="G3" s="53"/>
      <c r="H3" s="53"/>
      <c r="I3" s="53"/>
    </row>
    <row r="4" spans="2:9" ht="15.75" customHeight="1" x14ac:dyDescent="0.3">
      <c r="B4" s="78" t="s">
        <v>222</v>
      </c>
      <c r="C4" s="53"/>
      <c r="D4" s="53"/>
      <c r="E4" s="53"/>
      <c r="F4" s="53"/>
      <c r="G4" s="53"/>
      <c r="H4" s="53"/>
      <c r="I4" s="53"/>
    </row>
    <row r="5" spans="2:9" ht="6" customHeight="1" x14ac:dyDescent="0.3"/>
    <row r="6" spans="2:9" ht="21.75" customHeight="1" x14ac:dyDescent="0.3">
      <c r="B6" s="79" t="s">
        <v>223</v>
      </c>
      <c r="C6" s="53"/>
      <c r="D6" s="53"/>
      <c r="E6" s="53"/>
      <c r="F6" s="53"/>
      <c r="G6" s="53"/>
      <c r="H6" s="53"/>
      <c r="I6" s="53"/>
    </row>
    <row r="7" spans="2:9" ht="31.5" customHeight="1" x14ac:dyDescent="0.3">
      <c r="B7" s="28" t="s">
        <v>101</v>
      </c>
      <c r="C7" s="28" t="s">
        <v>224</v>
      </c>
      <c r="D7" s="28" t="s">
        <v>225</v>
      </c>
      <c r="E7" s="28" t="s">
        <v>226</v>
      </c>
      <c r="F7" s="28" t="s">
        <v>227</v>
      </c>
      <c r="G7" s="28" t="s">
        <v>228</v>
      </c>
      <c r="H7" s="28" t="s">
        <v>229</v>
      </c>
      <c r="I7" s="28" t="s">
        <v>230</v>
      </c>
    </row>
    <row r="8" spans="2:9" ht="24" customHeight="1" x14ac:dyDescent="0.3">
      <c r="B8" s="19">
        <v>1</v>
      </c>
      <c r="C8" s="29" t="s">
        <v>231</v>
      </c>
      <c r="D8" s="29" t="s">
        <v>232</v>
      </c>
      <c r="E8" s="30" t="s">
        <v>233</v>
      </c>
      <c r="F8" s="30" t="s">
        <v>234</v>
      </c>
      <c r="G8" s="31">
        <v>12</v>
      </c>
      <c r="H8" s="32">
        <v>3015079.84</v>
      </c>
      <c r="I8" s="29" t="s">
        <v>235</v>
      </c>
    </row>
    <row r="9" spans="2:9" ht="24" customHeight="1" x14ac:dyDescent="0.3">
      <c r="B9" s="15">
        <v>2</v>
      </c>
      <c r="C9" s="29" t="s">
        <v>236</v>
      </c>
      <c r="D9" s="29" t="s">
        <v>237</v>
      </c>
      <c r="E9" s="30" t="s">
        <v>234</v>
      </c>
      <c r="F9" s="30" t="s">
        <v>238</v>
      </c>
      <c r="G9" s="31">
        <v>12</v>
      </c>
      <c r="H9" s="32">
        <v>1816000</v>
      </c>
      <c r="I9" s="29" t="s">
        <v>235</v>
      </c>
    </row>
    <row r="10" spans="2:9" ht="24" customHeight="1" x14ac:dyDescent="0.3">
      <c r="B10" s="19">
        <v>3</v>
      </c>
      <c r="C10" s="29" t="s">
        <v>239</v>
      </c>
      <c r="D10" s="29" t="s">
        <v>240</v>
      </c>
      <c r="E10" s="30" t="s">
        <v>234</v>
      </c>
      <c r="F10" s="30" t="s">
        <v>238</v>
      </c>
      <c r="G10" s="31">
        <v>12</v>
      </c>
      <c r="H10" s="32">
        <v>3352934.8</v>
      </c>
      <c r="I10" s="29" t="s">
        <v>235</v>
      </c>
    </row>
    <row r="11" spans="2:9" ht="24" customHeight="1" x14ac:dyDescent="0.3">
      <c r="B11" s="15">
        <v>4</v>
      </c>
      <c r="C11" s="29" t="s">
        <v>241</v>
      </c>
      <c r="D11" s="29" t="s">
        <v>242</v>
      </c>
      <c r="E11" s="30" t="s">
        <v>243</v>
      </c>
      <c r="F11" s="30" t="s">
        <v>233</v>
      </c>
      <c r="G11" s="31">
        <v>16</v>
      </c>
      <c r="H11" s="32">
        <v>3430153.4</v>
      </c>
      <c r="I11" s="29" t="s">
        <v>235</v>
      </c>
    </row>
    <row r="12" spans="2:9" ht="24" customHeight="1" x14ac:dyDescent="0.3">
      <c r="B12" s="19">
        <v>5</v>
      </c>
      <c r="C12" s="29" t="s">
        <v>244</v>
      </c>
      <c r="D12" s="29" t="s">
        <v>245</v>
      </c>
      <c r="E12" s="30" t="s">
        <v>234</v>
      </c>
      <c r="F12" s="30" t="s">
        <v>238</v>
      </c>
      <c r="G12" s="31">
        <v>12</v>
      </c>
      <c r="H12" s="32">
        <v>6140000</v>
      </c>
      <c r="I12" s="29" t="s">
        <v>246</v>
      </c>
    </row>
    <row r="13" spans="2:9" ht="24" customHeight="1" x14ac:dyDescent="0.3">
      <c r="B13" s="15">
        <v>6</v>
      </c>
      <c r="C13" s="29" t="s">
        <v>247</v>
      </c>
      <c r="D13" s="29" t="s">
        <v>242</v>
      </c>
      <c r="E13" s="30" t="s">
        <v>233</v>
      </c>
      <c r="F13" s="30" t="s">
        <v>234</v>
      </c>
      <c r="G13" s="31">
        <v>12</v>
      </c>
      <c r="H13" s="32">
        <v>1500000</v>
      </c>
      <c r="I13" s="29" t="s">
        <v>248</v>
      </c>
    </row>
    <row r="14" spans="2:9" ht="24" customHeight="1" x14ac:dyDescent="0.3">
      <c r="B14" s="19">
        <v>7</v>
      </c>
      <c r="C14" s="29" t="s">
        <v>249</v>
      </c>
      <c r="D14" s="29" t="s">
        <v>250</v>
      </c>
      <c r="E14" s="30" t="s">
        <v>243</v>
      </c>
      <c r="F14" s="30" t="s">
        <v>233</v>
      </c>
      <c r="G14" s="31">
        <v>12</v>
      </c>
      <c r="H14" s="32">
        <v>1000000</v>
      </c>
      <c r="I14" s="29" t="s">
        <v>235</v>
      </c>
    </row>
    <row r="15" spans="2:9" ht="24" customHeight="1" x14ac:dyDescent="0.3">
      <c r="B15" s="15">
        <v>8</v>
      </c>
      <c r="C15" s="29" t="s">
        <v>251</v>
      </c>
      <c r="D15" s="29" t="s">
        <v>245</v>
      </c>
      <c r="E15" s="30" t="s">
        <v>234</v>
      </c>
      <c r="F15" s="30" t="s">
        <v>238</v>
      </c>
      <c r="G15" s="31">
        <v>12</v>
      </c>
      <c r="H15" s="32">
        <v>948000</v>
      </c>
      <c r="I15" s="29" t="s">
        <v>246</v>
      </c>
    </row>
    <row r="16" spans="2:9" ht="24" customHeight="1" x14ac:dyDescent="0.3">
      <c r="B16" s="19">
        <v>9</v>
      </c>
      <c r="C16" s="29" t="s">
        <v>252</v>
      </c>
      <c r="D16" s="29" t="s">
        <v>253</v>
      </c>
      <c r="E16" s="30" t="s">
        <v>233</v>
      </c>
      <c r="F16" s="30" t="s">
        <v>234</v>
      </c>
      <c r="G16" s="31">
        <v>12</v>
      </c>
      <c r="H16" s="32">
        <v>640000</v>
      </c>
      <c r="I16" s="29" t="s">
        <v>248</v>
      </c>
    </row>
    <row r="17" spans="2:9" ht="24" customHeight="1" x14ac:dyDescent="0.3">
      <c r="B17" s="15">
        <v>10</v>
      </c>
      <c r="C17" s="29" t="s">
        <v>254</v>
      </c>
      <c r="D17" s="29" t="s">
        <v>255</v>
      </c>
      <c r="E17" s="30" t="s">
        <v>243</v>
      </c>
      <c r="F17" s="30" t="s">
        <v>233</v>
      </c>
      <c r="G17" s="31">
        <v>12</v>
      </c>
      <c r="H17" s="32">
        <v>491213</v>
      </c>
      <c r="I17" s="29" t="s">
        <v>248</v>
      </c>
    </row>
    <row r="18" spans="2:9" ht="24" customHeight="1" x14ac:dyDescent="0.3">
      <c r="B18" s="88" t="s">
        <v>256</v>
      </c>
      <c r="C18" s="83"/>
      <c r="D18" s="55"/>
      <c r="E18" s="91">
        <f>COUNTA(C8:C17)</f>
        <v>10</v>
      </c>
      <c r="F18" s="55"/>
      <c r="G18" s="88" t="s">
        <v>257</v>
      </c>
      <c r="H18" s="55"/>
      <c r="I18" s="33">
        <f>IFERROR(MAX(H8:H17),0)</f>
        <v>6140000</v>
      </c>
    </row>
    <row r="19" spans="2:9" ht="9.75" customHeight="1" x14ac:dyDescent="0.3"/>
    <row r="20" spans="2:9" ht="21.75" customHeight="1" x14ac:dyDescent="0.3">
      <c r="B20" s="86" t="s">
        <v>258</v>
      </c>
      <c r="C20" s="53"/>
      <c r="D20" s="53"/>
      <c r="E20" s="53"/>
      <c r="F20" s="53"/>
      <c r="G20" s="53"/>
      <c r="H20" s="53"/>
      <c r="I20" s="53"/>
    </row>
    <row r="21" spans="2:9" ht="31.5" customHeight="1" x14ac:dyDescent="0.3">
      <c r="B21" s="28" t="s">
        <v>101</v>
      </c>
      <c r="C21" s="28" t="s">
        <v>224</v>
      </c>
      <c r="D21" s="28" t="s">
        <v>259</v>
      </c>
      <c r="E21" s="28" t="s">
        <v>260</v>
      </c>
      <c r="F21" s="28" t="s">
        <v>261</v>
      </c>
      <c r="G21" s="28" t="s">
        <v>262</v>
      </c>
      <c r="H21" s="28" t="s">
        <v>263</v>
      </c>
      <c r="I21" s="28" t="s">
        <v>264</v>
      </c>
    </row>
    <row r="22" spans="2:9" ht="24" customHeight="1" x14ac:dyDescent="0.3">
      <c r="B22" s="34">
        <v>1</v>
      </c>
      <c r="C22" s="29" t="s">
        <v>265</v>
      </c>
      <c r="D22" s="29" t="s">
        <v>245</v>
      </c>
      <c r="E22" s="30" t="s">
        <v>238</v>
      </c>
      <c r="F22" s="30" t="s">
        <v>266</v>
      </c>
      <c r="G22" s="35">
        <v>0.95</v>
      </c>
      <c r="H22" s="32">
        <v>6120000</v>
      </c>
      <c r="I22" s="29"/>
    </row>
    <row r="23" spans="2:9" ht="24" customHeight="1" x14ac:dyDescent="0.3">
      <c r="B23" s="36">
        <v>2</v>
      </c>
      <c r="C23" s="29" t="s">
        <v>267</v>
      </c>
      <c r="D23" s="29" t="s">
        <v>268</v>
      </c>
      <c r="E23" s="30" t="s">
        <v>238</v>
      </c>
      <c r="F23" s="30" t="s">
        <v>266</v>
      </c>
      <c r="G23" s="35" t="s">
        <v>269</v>
      </c>
      <c r="H23" s="32">
        <v>211000</v>
      </c>
      <c r="I23" s="29" t="s">
        <v>235</v>
      </c>
    </row>
    <row r="24" spans="2:9" ht="24" customHeight="1" x14ac:dyDescent="0.3">
      <c r="B24" s="34">
        <v>3</v>
      </c>
      <c r="C24" s="29"/>
      <c r="D24" s="29"/>
      <c r="E24" s="30"/>
      <c r="F24" s="30"/>
      <c r="G24" s="35"/>
      <c r="H24" s="32"/>
      <c r="I24" s="29"/>
    </row>
    <row r="25" spans="2:9" ht="24" customHeight="1" x14ac:dyDescent="0.3">
      <c r="B25" s="36">
        <v>4</v>
      </c>
      <c r="C25" s="29"/>
      <c r="D25" s="29"/>
      <c r="E25" s="30"/>
      <c r="F25" s="30"/>
      <c r="G25" s="35"/>
      <c r="H25" s="32"/>
      <c r="I25" s="29"/>
    </row>
    <row r="26" spans="2:9" ht="24" customHeight="1" x14ac:dyDescent="0.3">
      <c r="B26" s="34">
        <v>5</v>
      </c>
      <c r="C26" s="29"/>
      <c r="D26" s="29"/>
      <c r="E26" s="30"/>
      <c r="F26" s="30"/>
      <c r="G26" s="35"/>
      <c r="H26" s="32"/>
      <c r="I26" s="29"/>
    </row>
    <row r="27" spans="2:9" ht="24" customHeight="1" x14ac:dyDescent="0.3">
      <c r="B27" s="36">
        <v>6</v>
      </c>
      <c r="C27" s="29"/>
      <c r="D27" s="29"/>
      <c r="E27" s="30"/>
      <c r="F27" s="30"/>
      <c r="G27" s="35"/>
      <c r="H27" s="32"/>
      <c r="I27" s="29"/>
    </row>
    <row r="28" spans="2:9" ht="24" customHeight="1" x14ac:dyDescent="0.3">
      <c r="B28" s="34">
        <v>7</v>
      </c>
      <c r="C28" s="29"/>
      <c r="D28" s="29"/>
      <c r="E28" s="30"/>
      <c r="F28" s="30"/>
      <c r="G28" s="35"/>
      <c r="H28" s="32"/>
      <c r="I28" s="29"/>
    </row>
    <row r="29" spans="2:9" ht="24" customHeight="1" x14ac:dyDescent="0.3">
      <c r="B29" s="90" t="s">
        <v>270</v>
      </c>
      <c r="C29" s="83"/>
      <c r="D29" s="55"/>
      <c r="E29" s="82">
        <f>COUNTA(C22:C28)</f>
        <v>2</v>
      </c>
      <c r="F29" s="83"/>
      <c r="G29" s="83"/>
      <c r="H29" s="83"/>
      <c r="I29" s="55"/>
    </row>
    <row r="30" spans="2:9" ht="9.75" customHeight="1" x14ac:dyDescent="0.3"/>
    <row r="31" spans="2:9" ht="21.75" customHeight="1" x14ac:dyDescent="0.3">
      <c r="B31" s="84" t="s">
        <v>271</v>
      </c>
      <c r="C31" s="53"/>
      <c r="D31" s="53"/>
      <c r="E31" s="53"/>
      <c r="F31" s="53"/>
      <c r="G31" s="53"/>
      <c r="H31" s="53"/>
      <c r="I31" s="53"/>
    </row>
    <row r="32" spans="2:9" ht="21.75" customHeight="1" x14ac:dyDescent="0.3">
      <c r="B32" s="37" t="s">
        <v>272</v>
      </c>
      <c r="C32" s="87" t="s">
        <v>273</v>
      </c>
      <c r="D32" s="83"/>
      <c r="E32" s="83"/>
      <c r="F32" s="55"/>
      <c r="G32" s="85" t="s">
        <v>149</v>
      </c>
      <c r="H32" s="55"/>
      <c r="I32" s="18" t="s">
        <v>274</v>
      </c>
    </row>
    <row r="33" spans="2:9" ht="21.75" customHeight="1" x14ac:dyDescent="0.3">
      <c r="B33" s="38" t="s">
        <v>275</v>
      </c>
      <c r="C33" s="89" t="s">
        <v>276</v>
      </c>
      <c r="D33" s="83"/>
      <c r="E33" s="83"/>
      <c r="F33" s="55"/>
      <c r="G33" s="85" t="s">
        <v>277</v>
      </c>
      <c r="H33" s="55"/>
      <c r="I33" s="18" t="s">
        <v>274</v>
      </c>
    </row>
    <row r="34" spans="2:9" ht="21.75" customHeight="1" x14ac:dyDescent="0.3">
      <c r="B34" s="37" t="s">
        <v>278</v>
      </c>
      <c r="C34" s="87" t="s">
        <v>279</v>
      </c>
      <c r="D34" s="83"/>
      <c r="E34" s="83"/>
      <c r="F34" s="55"/>
      <c r="G34" s="81" t="s">
        <v>280</v>
      </c>
      <c r="H34" s="55"/>
      <c r="I34" s="18" t="s">
        <v>274</v>
      </c>
    </row>
  </sheetData>
  <mergeCells count="17">
    <mergeCell ref="B2:I2"/>
    <mergeCell ref="G33:H33"/>
    <mergeCell ref="B20:I20"/>
    <mergeCell ref="C34:F34"/>
    <mergeCell ref="B18:D18"/>
    <mergeCell ref="B3:I3"/>
    <mergeCell ref="C33:F33"/>
    <mergeCell ref="C32:F32"/>
    <mergeCell ref="B29:D29"/>
    <mergeCell ref="G18:H18"/>
    <mergeCell ref="E18:F18"/>
    <mergeCell ref="B4:I4"/>
    <mergeCell ref="G34:H34"/>
    <mergeCell ref="E29:I29"/>
    <mergeCell ref="B31:I31"/>
    <mergeCell ref="B6:I6"/>
    <mergeCell ref="G32:H32"/>
  </mergeCells>
  <dataValidations count="1">
    <dataValidation type="list" allowBlank="1" sqref="G32" xr:uid="{00000000-0002-0000-0400-000000000000}">
      <formula1>"Var,Yoxdur"</formula1>
      <formula2>0</formula2>
    </dataValidation>
  </dataValidations>
  <pageMargins left="0.4" right="0.4" top="0.5" bottom="0.5" header="0.3" footer="0.3"/>
  <pageSetup paperSize="9" fitToHeight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23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13" sqref="A13"/>
      <selection pane="bottomRight" activeCell="E23" sqref="E23"/>
    </sheetView>
  </sheetViews>
  <sheetFormatPr defaultColWidth="8.6640625" defaultRowHeight="14.4" x14ac:dyDescent="0.3"/>
  <cols>
    <col min="1" max="1" width="2" style="46" customWidth="1"/>
    <col min="2" max="2" width="6" style="46" customWidth="1"/>
    <col min="3" max="3" width="48" style="46" customWidth="1"/>
    <col min="4" max="4" width="14" style="46" customWidth="1"/>
    <col min="5" max="5" width="45.6640625" style="46" customWidth="1"/>
    <col min="6" max="6" width="18" style="46" customWidth="1"/>
    <col min="7" max="7" width="2" style="46" customWidth="1"/>
  </cols>
  <sheetData>
    <row r="1" spans="2:6" ht="4.5" customHeight="1" x14ac:dyDescent="0.3"/>
    <row r="2" spans="2:6" ht="31.5" customHeight="1" x14ac:dyDescent="0.3">
      <c r="B2" s="77" t="s">
        <v>281</v>
      </c>
      <c r="C2" s="53"/>
      <c r="D2" s="53"/>
      <c r="E2" s="53"/>
      <c r="F2" s="53"/>
    </row>
    <row r="3" spans="2:6" ht="18" customHeight="1" x14ac:dyDescent="0.3">
      <c r="B3" s="80" t="s">
        <v>282</v>
      </c>
      <c r="C3" s="53"/>
      <c r="D3" s="53"/>
      <c r="E3" s="53"/>
      <c r="F3" s="53"/>
    </row>
    <row r="4" spans="2:6" ht="15.75" customHeight="1" x14ac:dyDescent="0.3">
      <c r="B4" s="78" t="s">
        <v>100</v>
      </c>
      <c r="C4" s="53"/>
      <c r="D4" s="53"/>
      <c r="E4" s="53"/>
      <c r="F4" s="53"/>
    </row>
    <row r="5" spans="2:6" ht="6" customHeight="1" x14ac:dyDescent="0.3"/>
    <row r="6" spans="2:6" ht="31.5" customHeight="1" x14ac:dyDescent="0.3">
      <c r="B6" s="14" t="s">
        <v>101</v>
      </c>
      <c r="C6" s="14" t="s">
        <v>102</v>
      </c>
      <c r="D6" s="14" t="s">
        <v>103</v>
      </c>
      <c r="E6" s="14" t="s">
        <v>104</v>
      </c>
      <c r="F6" s="14" t="s">
        <v>105</v>
      </c>
    </row>
    <row r="7" spans="2:6" ht="21.75" customHeight="1" x14ac:dyDescent="0.3">
      <c r="B7" s="79" t="s">
        <v>283</v>
      </c>
      <c r="C7" s="53"/>
      <c r="D7" s="53"/>
      <c r="E7" s="53"/>
      <c r="F7" s="53"/>
    </row>
    <row r="8" spans="2:6" ht="19.5" customHeight="1" x14ac:dyDescent="0.3">
      <c r="B8" s="19" t="s">
        <v>284</v>
      </c>
      <c r="C8" s="4" t="s">
        <v>285</v>
      </c>
      <c r="D8" s="16" t="s">
        <v>108</v>
      </c>
      <c r="E8" s="17" t="s">
        <v>286</v>
      </c>
      <c r="F8" s="18" t="s">
        <v>287</v>
      </c>
    </row>
    <row r="9" spans="2:6" ht="19.5" customHeight="1" x14ac:dyDescent="0.3">
      <c r="B9" s="15" t="s">
        <v>288</v>
      </c>
      <c r="C9" s="6" t="s">
        <v>289</v>
      </c>
      <c r="D9" s="16" t="s">
        <v>290</v>
      </c>
      <c r="E9" s="22">
        <v>138</v>
      </c>
      <c r="F9" s="18" t="s">
        <v>287</v>
      </c>
    </row>
    <row r="10" spans="2:6" ht="19.5" customHeight="1" x14ac:dyDescent="0.3">
      <c r="B10" s="19" t="s">
        <v>291</v>
      </c>
      <c r="C10" s="4" t="s">
        <v>292</v>
      </c>
      <c r="D10" s="16" t="s">
        <v>108</v>
      </c>
      <c r="E10" s="17" t="s">
        <v>293</v>
      </c>
      <c r="F10" s="18" t="s">
        <v>287</v>
      </c>
    </row>
    <row r="11" spans="2:6" ht="19.5" customHeight="1" x14ac:dyDescent="0.3">
      <c r="B11" s="15" t="s">
        <v>294</v>
      </c>
      <c r="C11" s="6" t="s">
        <v>295</v>
      </c>
      <c r="D11" s="16" t="s">
        <v>290</v>
      </c>
      <c r="E11" s="22">
        <v>1200</v>
      </c>
      <c r="F11" s="18" t="s">
        <v>287</v>
      </c>
    </row>
    <row r="12" spans="2:6" ht="19.5" customHeight="1" x14ac:dyDescent="0.3">
      <c r="B12" s="19" t="s">
        <v>296</v>
      </c>
      <c r="C12" s="4" t="s">
        <v>297</v>
      </c>
      <c r="D12" s="16" t="s">
        <v>290</v>
      </c>
      <c r="E12" s="22">
        <v>662</v>
      </c>
      <c r="F12" s="18" t="s">
        <v>287</v>
      </c>
    </row>
    <row r="13" spans="2:6" ht="21.75" customHeight="1" x14ac:dyDescent="0.3">
      <c r="B13" s="79" t="s">
        <v>298</v>
      </c>
      <c r="C13" s="53"/>
      <c r="D13" s="53"/>
      <c r="E13" s="53"/>
      <c r="F13" s="53"/>
    </row>
    <row r="14" spans="2:6" ht="19.5" customHeight="1" x14ac:dyDescent="0.3">
      <c r="B14" s="19" t="s">
        <v>299</v>
      </c>
      <c r="C14" s="4" t="s">
        <v>300</v>
      </c>
      <c r="D14" s="16" t="s">
        <v>301</v>
      </c>
      <c r="E14" s="20">
        <v>44</v>
      </c>
      <c r="F14" s="18" t="s">
        <v>302</v>
      </c>
    </row>
    <row r="15" spans="2:6" ht="19.5" customHeight="1" x14ac:dyDescent="0.3">
      <c r="B15" s="15" t="s">
        <v>303</v>
      </c>
      <c r="C15" s="6" t="s">
        <v>304</v>
      </c>
      <c r="D15" s="16" t="s">
        <v>301</v>
      </c>
      <c r="E15" s="20">
        <v>1</v>
      </c>
      <c r="F15" s="18" t="s">
        <v>302</v>
      </c>
    </row>
    <row r="16" spans="2:6" ht="19.5" customHeight="1" x14ac:dyDescent="0.3">
      <c r="B16" s="19" t="s">
        <v>305</v>
      </c>
      <c r="C16" s="4" t="s">
        <v>306</v>
      </c>
      <c r="D16" s="16" t="s">
        <v>301</v>
      </c>
      <c r="E16" s="20">
        <v>0</v>
      </c>
      <c r="F16" s="18" t="s">
        <v>302</v>
      </c>
    </row>
    <row r="17" spans="2:6" ht="19.5" customHeight="1" x14ac:dyDescent="0.3">
      <c r="B17" s="15" t="s">
        <v>307</v>
      </c>
      <c r="C17" s="6" t="s">
        <v>308</v>
      </c>
      <c r="D17" s="16" t="s">
        <v>301</v>
      </c>
      <c r="E17" s="20">
        <v>33</v>
      </c>
      <c r="F17" s="18" t="s">
        <v>302</v>
      </c>
    </row>
    <row r="18" spans="2:6" ht="19.5" customHeight="1" x14ac:dyDescent="0.3">
      <c r="B18" s="19" t="s">
        <v>309</v>
      </c>
      <c r="C18" s="4" t="s">
        <v>310</v>
      </c>
      <c r="D18" s="16" t="s">
        <v>301</v>
      </c>
      <c r="E18" s="20">
        <v>10</v>
      </c>
      <c r="F18" s="18" t="s">
        <v>302</v>
      </c>
    </row>
    <row r="19" spans="2:6" ht="21.75" customHeight="1" x14ac:dyDescent="0.3">
      <c r="B19" s="79" t="s">
        <v>311</v>
      </c>
      <c r="C19" s="53"/>
      <c r="D19" s="53"/>
      <c r="E19" s="53"/>
      <c r="F19" s="53"/>
    </row>
    <row r="20" spans="2:6" ht="19.5" customHeight="1" x14ac:dyDescent="0.3">
      <c r="B20" s="19" t="s">
        <v>312</v>
      </c>
      <c r="C20" s="4" t="s">
        <v>313</v>
      </c>
      <c r="D20" s="16" t="s">
        <v>301</v>
      </c>
      <c r="E20" s="20">
        <v>2</v>
      </c>
      <c r="F20" s="18" t="s">
        <v>314</v>
      </c>
    </row>
    <row r="21" spans="2:6" ht="19.5" customHeight="1" x14ac:dyDescent="0.3">
      <c r="B21" s="15" t="s">
        <v>315</v>
      </c>
      <c r="C21" s="6" t="s">
        <v>316</v>
      </c>
      <c r="D21" s="16" t="s">
        <v>301</v>
      </c>
      <c r="E21" s="20">
        <v>5</v>
      </c>
      <c r="F21" s="18" t="s">
        <v>314</v>
      </c>
    </row>
    <row r="22" spans="2:6" ht="19.5" customHeight="1" x14ac:dyDescent="0.3">
      <c r="B22" s="19" t="s">
        <v>317</v>
      </c>
      <c r="C22" s="4" t="s">
        <v>318</v>
      </c>
      <c r="D22" s="16" t="s">
        <v>301</v>
      </c>
      <c r="E22" s="20">
        <v>0</v>
      </c>
      <c r="F22" s="18" t="s">
        <v>314</v>
      </c>
    </row>
    <row r="23" spans="2:6" ht="19.5" customHeight="1" x14ac:dyDescent="0.3">
      <c r="B23" s="15" t="s">
        <v>319</v>
      </c>
      <c r="C23" s="6" t="s">
        <v>320</v>
      </c>
      <c r="D23" s="16" t="s">
        <v>148</v>
      </c>
      <c r="E23" s="17" t="s">
        <v>149</v>
      </c>
      <c r="F23" s="18" t="s">
        <v>314</v>
      </c>
    </row>
  </sheetData>
  <mergeCells count="6">
    <mergeCell ref="B4:F4"/>
    <mergeCell ref="B7:F7"/>
    <mergeCell ref="B2:F2"/>
    <mergeCell ref="B3:F3"/>
    <mergeCell ref="B19:F19"/>
    <mergeCell ref="B13:F13"/>
  </mergeCells>
  <dataValidations count="1">
    <dataValidation type="list" allowBlank="1" sqref="E23" xr:uid="{00000000-0002-0000-0500-000000000000}">
      <formula1>"Var,Yoxdur"</formula1>
      <formula2>0</formula2>
    </dataValidation>
  </dataValidations>
  <pageMargins left="0.4" right="0.4" top="0.5" bottom="0.5" header="0.3" footer="0.3"/>
  <pageSetup paperSize="9" fitToHeight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27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16" sqref="A16"/>
      <selection pane="bottomRight" activeCell="E28" sqref="E28"/>
    </sheetView>
  </sheetViews>
  <sheetFormatPr defaultColWidth="8.6640625" defaultRowHeight="14.4" x14ac:dyDescent="0.3"/>
  <cols>
    <col min="1" max="1" width="2" style="46" customWidth="1"/>
    <col min="2" max="2" width="6" style="46" customWidth="1"/>
    <col min="3" max="3" width="48" style="46" customWidth="1"/>
    <col min="4" max="4" width="14" style="46" customWidth="1"/>
    <col min="5" max="5" width="28" style="46" customWidth="1"/>
    <col min="6" max="6" width="18" style="46" customWidth="1"/>
    <col min="7" max="7" width="2" style="46" customWidth="1"/>
  </cols>
  <sheetData>
    <row r="1" spans="2:6" ht="4.5" customHeight="1" x14ac:dyDescent="0.3"/>
    <row r="2" spans="2:6" ht="31.5" customHeight="1" x14ac:dyDescent="0.3">
      <c r="B2" s="77" t="s">
        <v>321</v>
      </c>
      <c r="C2" s="53"/>
      <c r="D2" s="53"/>
      <c r="E2" s="53"/>
      <c r="F2" s="53"/>
    </row>
    <row r="3" spans="2:6" ht="18" customHeight="1" x14ac:dyDescent="0.3">
      <c r="B3" s="80" t="s">
        <v>322</v>
      </c>
      <c r="C3" s="53"/>
      <c r="D3" s="53"/>
      <c r="E3" s="53"/>
      <c r="F3" s="53"/>
    </row>
    <row r="4" spans="2:6" ht="15.75" customHeight="1" x14ac:dyDescent="0.3">
      <c r="B4" s="78" t="s">
        <v>100</v>
      </c>
      <c r="C4" s="53"/>
      <c r="D4" s="53"/>
      <c r="E4" s="53"/>
      <c r="F4" s="53"/>
    </row>
    <row r="5" spans="2:6" ht="6" customHeight="1" x14ac:dyDescent="0.3"/>
    <row r="6" spans="2:6" ht="31.5" customHeight="1" x14ac:dyDescent="0.3">
      <c r="B6" s="14" t="s">
        <v>101</v>
      </c>
      <c r="C6" s="14" t="s">
        <v>102</v>
      </c>
      <c r="D6" s="14" t="s">
        <v>103</v>
      </c>
      <c r="E6" s="14" t="s">
        <v>104</v>
      </c>
      <c r="F6" s="14" t="s">
        <v>105</v>
      </c>
    </row>
    <row r="7" spans="2:6" ht="21.75" customHeight="1" x14ac:dyDescent="0.3">
      <c r="B7" s="79" t="s">
        <v>323</v>
      </c>
      <c r="C7" s="53"/>
      <c r="D7" s="53"/>
      <c r="E7" s="53"/>
      <c r="F7" s="53"/>
    </row>
    <row r="8" spans="2:6" ht="19.5" customHeight="1" x14ac:dyDescent="0.3">
      <c r="B8" s="19" t="s">
        <v>324</v>
      </c>
      <c r="C8" s="4" t="s">
        <v>325</v>
      </c>
      <c r="D8" s="16" t="s">
        <v>326</v>
      </c>
      <c r="E8" s="20">
        <v>80</v>
      </c>
      <c r="F8" s="18" t="s">
        <v>327</v>
      </c>
    </row>
    <row r="9" spans="2:6" ht="19.5" customHeight="1" x14ac:dyDescent="0.3">
      <c r="B9" s="15" t="s">
        <v>328</v>
      </c>
      <c r="C9" s="6" t="s">
        <v>329</v>
      </c>
      <c r="D9" s="16" t="s">
        <v>326</v>
      </c>
      <c r="E9" s="20">
        <v>0</v>
      </c>
      <c r="F9" s="18" t="s">
        <v>327</v>
      </c>
    </row>
    <row r="10" spans="2:6" ht="19.5" customHeight="1" x14ac:dyDescent="0.3">
      <c r="B10" s="19" t="s">
        <v>330</v>
      </c>
      <c r="C10" s="4" t="s">
        <v>331</v>
      </c>
      <c r="D10" s="16" t="s">
        <v>326</v>
      </c>
      <c r="E10" s="20">
        <v>14</v>
      </c>
      <c r="F10" s="18" t="s">
        <v>327</v>
      </c>
    </row>
    <row r="11" spans="2:6" ht="21.75" customHeight="1" x14ac:dyDescent="0.3">
      <c r="B11" s="79" t="s">
        <v>332</v>
      </c>
      <c r="C11" s="53"/>
      <c r="D11" s="53"/>
      <c r="E11" s="53"/>
      <c r="F11" s="53"/>
    </row>
    <row r="12" spans="2:6" ht="19.5" customHeight="1" x14ac:dyDescent="0.3">
      <c r="B12" s="19" t="s">
        <v>333</v>
      </c>
      <c r="C12" s="4" t="s">
        <v>334</v>
      </c>
      <c r="D12" s="16" t="s">
        <v>326</v>
      </c>
      <c r="E12" s="20">
        <v>1</v>
      </c>
      <c r="F12" s="18" t="s">
        <v>335</v>
      </c>
    </row>
    <row r="13" spans="2:6" ht="19.5" customHeight="1" x14ac:dyDescent="0.3">
      <c r="B13" s="15" t="s">
        <v>336</v>
      </c>
      <c r="C13" s="6" t="s">
        <v>337</v>
      </c>
      <c r="D13" s="16" t="s">
        <v>326</v>
      </c>
      <c r="E13" s="20">
        <v>5</v>
      </c>
      <c r="F13" s="18" t="s">
        <v>335</v>
      </c>
    </row>
    <row r="14" spans="2:6" ht="19.5" customHeight="1" x14ac:dyDescent="0.3">
      <c r="B14" s="19" t="s">
        <v>338</v>
      </c>
      <c r="C14" s="4" t="s">
        <v>339</v>
      </c>
      <c r="D14" s="16" t="s">
        <v>326</v>
      </c>
      <c r="E14" s="20">
        <v>1</v>
      </c>
      <c r="F14" s="18" t="s">
        <v>335</v>
      </c>
    </row>
    <row r="15" spans="2:6" ht="19.5" customHeight="1" x14ac:dyDescent="0.3">
      <c r="B15" s="15" t="s">
        <v>340</v>
      </c>
      <c r="C15" s="6" t="s">
        <v>341</v>
      </c>
      <c r="D15" s="16" t="s">
        <v>326</v>
      </c>
      <c r="E15" s="20">
        <v>0</v>
      </c>
      <c r="F15" s="18" t="s">
        <v>335</v>
      </c>
    </row>
    <row r="16" spans="2:6" ht="19.5" customHeight="1" x14ac:dyDescent="0.3">
      <c r="B16" s="19" t="s">
        <v>342</v>
      </c>
      <c r="C16" s="4" t="s">
        <v>343</v>
      </c>
      <c r="D16" s="16" t="s">
        <v>326</v>
      </c>
      <c r="E16" s="20">
        <v>1</v>
      </c>
      <c r="F16" s="18" t="s">
        <v>335</v>
      </c>
    </row>
    <row r="17" spans="2:6" ht="19.5" customHeight="1" x14ac:dyDescent="0.3">
      <c r="B17" s="15" t="s">
        <v>344</v>
      </c>
      <c r="C17" s="6" t="s">
        <v>345</v>
      </c>
      <c r="D17" s="16" t="s">
        <v>326</v>
      </c>
      <c r="E17" s="20">
        <v>4</v>
      </c>
      <c r="F17" s="18" t="s">
        <v>335</v>
      </c>
    </row>
    <row r="18" spans="2:6" ht="21.75" customHeight="1" x14ac:dyDescent="0.3">
      <c r="B18" s="79" t="s">
        <v>346</v>
      </c>
      <c r="C18" s="53"/>
      <c r="D18" s="53"/>
      <c r="E18" s="53"/>
      <c r="F18" s="53"/>
    </row>
    <row r="19" spans="2:6" ht="19.5" customHeight="1" x14ac:dyDescent="0.3">
      <c r="B19" s="15" t="s">
        <v>347</v>
      </c>
      <c r="C19" s="6" t="s">
        <v>348</v>
      </c>
      <c r="D19" s="16" t="s">
        <v>326</v>
      </c>
      <c r="E19" s="20">
        <v>12</v>
      </c>
      <c r="F19" s="18" t="s">
        <v>327</v>
      </c>
    </row>
    <row r="20" spans="2:6" ht="19.5" customHeight="1" x14ac:dyDescent="0.3">
      <c r="B20" s="19" t="s">
        <v>349</v>
      </c>
      <c r="C20" s="4" t="s">
        <v>350</v>
      </c>
      <c r="D20" s="16" t="s">
        <v>326</v>
      </c>
      <c r="E20" s="20">
        <v>40</v>
      </c>
      <c r="F20" s="18" t="s">
        <v>327</v>
      </c>
    </row>
    <row r="21" spans="2:6" ht="21.75" customHeight="1" x14ac:dyDescent="0.3">
      <c r="B21" s="79" t="s">
        <v>351</v>
      </c>
      <c r="C21" s="53"/>
      <c r="D21" s="53"/>
      <c r="E21" s="53"/>
      <c r="F21" s="53"/>
    </row>
    <row r="22" spans="2:6" ht="19.5" customHeight="1" x14ac:dyDescent="0.3">
      <c r="B22" s="19" t="s">
        <v>352</v>
      </c>
      <c r="C22" s="4" t="s">
        <v>353</v>
      </c>
      <c r="D22" s="16" t="s">
        <v>148</v>
      </c>
      <c r="E22" s="17" t="s">
        <v>149</v>
      </c>
      <c r="F22" s="18" t="s">
        <v>354</v>
      </c>
    </row>
    <row r="23" spans="2:6" ht="19.5" customHeight="1" x14ac:dyDescent="0.3">
      <c r="B23" s="15" t="s">
        <v>355</v>
      </c>
      <c r="C23" s="6" t="s">
        <v>356</v>
      </c>
      <c r="D23" s="16" t="s">
        <v>148</v>
      </c>
      <c r="E23" s="17" t="s">
        <v>149</v>
      </c>
      <c r="F23" s="18" t="s">
        <v>354</v>
      </c>
    </row>
    <row r="24" spans="2:6" ht="19.5" customHeight="1" x14ac:dyDescent="0.3">
      <c r="B24" s="19" t="s">
        <v>357</v>
      </c>
      <c r="C24" s="4" t="s">
        <v>358</v>
      </c>
      <c r="D24" s="16" t="s">
        <v>326</v>
      </c>
      <c r="E24" s="20">
        <v>1</v>
      </c>
      <c r="F24" s="18" t="s">
        <v>335</v>
      </c>
    </row>
    <row r="25" spans="2:6" ht="21.75" customHeight="1" x14ac:dyDescent="0.3">
      <c r="B25" s="79" t="s">
        <v>359</v>
      </c>
      <c r="C25" s="53"/>
      <c r="D25" s="53"/>
      <c r="E25" s="53"/>
      <c r="F25" s="53"/>
    </row>
    <row r="26" spans="2:6" ht="19.5" customHeight="1" x14ac:dyDescent="0.3">
      <c r="B26" s="19" t="s">
        <v>360</v>
      </c>
      <c r="C26" s="4" t="s">
        <v>361</v>
      </c>
      <c r="D26" s="16" t="s">
        <v>362</v>
      </c>
      <c r="E26" s="20">
        <v>4</v>
      </c>
      <c r="F26" s="18" t="s">
        <v>363</v>
      </c>
    </row>
    <row r="27" spans="2:6" ht="19.5" customHeight="1" x14ac:dyDescent="0.3">
      <c r="B27" s="15" t="s">
        <v>364</v>
      </c>
      <c r="C27" s="6" t="s">
        <v>365</v>
      </c>
      <c r="D27" s="16" t="s">
        <v>148</v>
      </c>
      <c r="E27" s="17" t="s">
        <v>149</v>
      </c>
      <c r="F27" s="18" t="s">
        <v>363</v>
      </c>
    </row>
  </sheetData>
  <mergeCells count="8">
    <mergeCell ref="B4:F4"/>
    <mergeCell ref="B21:F21"/>
    <mergeCell ref="B7:F7"/>
    <mergeCell ref="B2:F2"/>
    <mergeCell ref="B25:F25"/>
    <mergeCell ref="B11:F11"/>
    <mergeCell ref="B3:F3"/>
    <mergeCell ref="B18:F18"/>
  </mergeCells>
  <dataValidations count="1">
    <dataValidation type="list" allowBlank="1" sqref="E22:E23 E27" xr:uid="{00000000-0002-0000-0600-000000000000}">
      <formula1>"Var,Yoxdur"</formula1>
      <formula2>0</formula2>
    </dataValidation>
  </dataValidations>
  <pageMargins left="0.4" right="0.4" top="0.5" bottom="0.5" header="0.3" footer="0.3"/>
  <pageSetup paperSize="9" fitToHeight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26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19" sqref="A19"/>
      <selection pane="bottomRight" activeCell="B12" sqref="B12:F12"/>
    </sheetView>
  </sheetViews>
  <sheetFormatPr defaultColWidth="8.6640625" defaultRowHeight="14.4" x14ac:dyDescent="0.3"/>
  <cols>
    <col min="1" max="1" width="2" style="46" customWidth="1"/>
    <col min="2" max="2" width="6" style="46" customWidth="1"/>
    <col min="3" max="3" width="48" style="46" customWidth="1"/>
    <col min="4" max="4" width="14" style="46" customWidth="1"/>
    <col min="5" max="5" width="28" style="46" customWidth="1"/>
    <col min="6" max="6" width="18" style="46" customWidth="1"/>
    <col min="7" max="7" width="2" style="46" customWidth="1"/>
  </cols>
  <sheetData>
    <row r="1" spans="2:6" ht="4.5" customHeight="1" x14ac:dyDescent="0.3"/>
    <row r="2" spans="2:6" ht="31.5" customHeight="1" x14ac:dyDescent="0.3">
      <c r="B2" s="77" t="s">
        <v>366</v>
      </c>
      <c r="C2" s="53"/>
      <c r="D2" s="53"/>
      <c r="E2" s="53"/>
      <c r="F2" s="53"/>
    </row>
    <row r="3" spans="2:6" ht="18" customHeight="1" x14ac:dyDescent="0.3">
      <c r="B3" s="80" t="s">
        <v>367</v>
      </c>
      <c r="C3" s="53"/>
      <c r="D3" s="53"/>
      <c r="E3" s="53"/>
      <c r="F3" s="53"/>
    </row>
    <row r="4" spans="2:6" ht="15.75" customHeight="1" x14ac:dyDescent="0.3">
      <c r="B4" s="78" t="s">
        <v>100</v>
      </c>
      <c r="C4" s="53"/>
      <c r="D4" s="53"/>
      <c r="E4" s="53"/>
      <c r="F4" s="53"/>
    </row>
    <row r="5" spans="2:6" ht="6" customHeight="1" x14ac:dyDescent="0.3"/>
    <row r="6" spans="2:6" ht="31.5" customHeight="1" x14ac:dyDescent="0.3">
      <c r="B6" s="14" t="s">
        <v>101</v>
      </c>
      <c r="C6" s="14" t="s">
        <v>102</v>
      </c>
      <c r="D6" s="14" t="s">
        <v>103</v>
      </c>
      <c r="E6" s="14" t="s">
        <v>104</v>
      </c>
      <c r="F6" s="14" t="s">
        <v>105</v>
      </c>
    </row>
    <row r="7" spans="2:6" ht="21.75" customHeight="1" x14ac:dyDescent="0.3">
      <c r="B7" s="79" t="s">
        <v>368</v>
      </c>
      <c r="C7" s="53"/>
      <c r="D7" s="53"/>
      <c r="E7" s="53"/>
      <c r="F7" s="53"/>
    </row>
    <row r="8" spans="2:6" ht="24" customHeight="1" x14ac:dyDescent="0.3">
      <c r="B8" s="19" t="s">
        <v>369</v>
      </c>
      <c r="C8" s="4" t="s">
        <v>370</v>
      </c>
      <c r="D8" s="16" t="s">
        <v>148</v>
      </c>
      <c r="E8" s="17" t="s">
        <v>149</v>
      </c>
      <c r="F8" s="18" t="s">
        <v>371</v>
      </c>
    </row>
    <row r="9" spans="2:6" ht="19.5" customHeight="1" x14ac:dyDescent="0.3">
      <c r="B9" s="15" t="s">
        <v>372</v>
      </c>
      <c r="C9" s="6" t="s">
        <v>373</v>
      </c>
      <c r="D9" s="16" t="s">
        <v>156</v>
      </c>
      <c r="E9" s="21">
        <v>44848</v>
      </c>
      <c r="F9" s="18" t="s">
        <v>371</v>
      </c>
    </row>
    <row r="10" spans="2:6" ht="19.5" customHeight="1" x14ac:dyDescent="0.3">
      <c r="B10" s="19" t="s">
        <v>374</v>
      </c>
      <c r="C10" s="4" t="s">
        <v>375</v>
      </c>
      <c r="D10" s="16" t="s">
        <v>148</v>
      </c>
      <c r="E10" s="17" t="s">
        <v>149</v>
      </c>
      <c r="F10" s="18" t="s">
        <v>376</v>
      </c>
    </row>
    <row r="11" spans="2:6" ht="19.5" customHeight="1" x14ac:dyDescent="0.3">
      <c r="B11" s="15" t="s">
        <v>377</v>
      </c>
      <c r="C11" s="6" t="s">
        <v>378</v>
      </c>
      <c r="D11" s="16" t="s">
        <v>379</v>
      </c>
      <c r="E11" s="20">
        <v>48</v>
      </c>
      <c r="F11" s="18" t="s">
        <v>376</v>
      </c>
    </row>
    <row r="12" spans="2:6" ht="21.75" customHeight="1" x14ac:dyDescent="0.3">
      <c r="B12" s="79" t="s">
        <v>380</v>
      </c>
      <c r="C12" s="53"/>
      <c r="D12" s="53"/>
      <c r="E12" s="53"/>
      <c r="F12" s="53"/>
    </row>
    <row r="13" spans="2:6" ht="19.5" customHeight="1" x14ac:dyDescent="0.3">
      <c r="B13" s="15" t="s">
        <v>381</v>
      </c>
      <c r="C13" s="6" t="s">
        <v>382</v>
      </c>
      <c r="D13" s="16" t="s">
        <v>148</v>
      </c>
      <c r="E13" s="17" t="s">
        <v>149</v>
      </c>
      <c r="F13" s="18" t="s">
        <v>383</v>
      </c>
    </row>
    <row r="14" spans="2:6" ht="19.5" customHeight="1" x14ac:dyDescent="0.3">
      <c r="B14" s="19" t="s">
        <v>384</v>
      </c>
      <c r="C14" s="4" t="s">
        <v>385</v>
      </c>
      <c r="D14" s="16" t="s">
        <v>108</v>
      </c>
      <c r="E14" s="17" t="s">
        <v>386</v>
      </c>
      <c r="F14" s="18" t="s">
        <v>383</v>
      </c>
    </row>
    <row r="15" spans="2:6" ht="19.5" customHeight="1" x14ac:dyDescent="0.3">
      <c r="B15" s="15" t="s">
        <v>387</v>
      </c>
      <c r="C15" s="6" t="s">
        <v>388</v>
      </c>
      <c r="D15" s="16" t="s">
        <v>156</v>
      </c>
      <c r="E15" s="21" t="s">
        <v>280</v>
      </c>
      <c r="F15" s="18" t="s">
        <v>383</v>
      </c>
    </row>
    <row r="16" spans="2:6" ht="19.5" customHeight="1" x14ac:dyDescent="0.3">
      <c r="B16" s="19" t="s">
        <v>389</v>
      </c>
      <c r="C16" s="4" t="s">
        <v>390</v>
      </c>
      <c r="D16" s="16" t="s">
        <v>148</v>
      </c>
      <c r="E16" s="17" t="s">
        <v>149</v>
      </c>
      <c r="F16" s="18" t="s">
        <v>391</v>
      </c>
    </row>
    <row r="17" spans="2:6" ht="19.5" customHeight="1" x14ac:dyDescent="0.3">
      <c r="B17" s="15" t="s">
        <v>392</v>
      </c>
      <c r="C17" s="6" t="s">
        <v>385</v>
      </c>
      <c r="D17" s="16" t="s">
        <v>108</v>
      </c>
      <c r="E17" s="17" t="s">
        <v>393</v>
      </c>
      <c r="F17" s="18" t="s">
        <v>391</v>
      </c>
    </row>
    <row r="18" spans="2:6" ht="19.5" customHeight="1" x14ac:dyDescent="0.3">
      <c r="B18" s="19" t="s">
        <v>394</v>
      </c>
      <c r="C18" s="4" t="s">
        <v>388</v>
      </c>
      <c r="D18" s="16" t="s">
        <v>156</v>
      </c>
      <c r="E18" s="21" t="s">
        <v>280</v>
      </c>
      <c r="F18" s="18" t="s">
        <v>391</v>
      </c>
    </row>
    <row r="19" spans="2:6" ht="21.75" customHeight="1" x14ac:dyDescent="0.3">
      <c r="B19" s="79" t="s">
        <v>395</v>
      </c>
      <c r="C19" s="53"/>
      <c r="D19" s="53"/>
      <c r="E19" s="53"/>
      <c r="F19" s="53"/>
    </row>
    <row r="20" spans="2:6" ht="24" customHeight="1" x14ac:dyDescent="0.3">
      <c r="B20" s="19" t="s">
        <v>396</v>
      </c>
      <c r="C20" s="4" t="s">
        <v>397</v>
      </c>
      <c r="D20" s="16" t="s">
        <v>301</v>
      </c>
      <c r="E20" s="20">
        <v>0</v>
      </c>
      <c r="F20" s="18" t="s">
        <v>398</v>
      </c>
    </row>
    <row r="21" spans="2:6" ht="19.5" customHeight="1" x14ac:dyDescent="0.3">
      <c r="B21" s="15" t="s">
        <v>399</v>
      </c>
      <c r="C21" s="6" t="s">
        <v>400</v>
      </c>
      <c r="D21" s="16" t="s">
        <v>301</v>
      </c>
      <c r="E21" s="20">
        <v>0</v>
      </c>
      <c r="F21" s="18" t="s">
        <v>398</v>
      </c>
    </row>
    <row r="22" spans="2:6" ht="19.5" customHeight="1" x14ac:dyDescent="0.3">
      <c r="B22" s="19" t="s">
        <v>401</v>
      </c>
      <c r="C22" s="4" t="s">
        <v>402</v>
      </c>
      <c r="D22" s="16" t="s">
        <v>301</v>
      </c>
      <c r="E22" s="20">
        <v>0</v>
      </c>
      <c r="F22" s="18" t="s">
        <v>398</v>
      </c>
    </row>
    <row r="23" spans="2:6" ht="19.5" customHeight="1" x14ac:dyDescent="0.3">
      <c r="B23" s="15" t="s">
        <v>403</v>
      </c>
      <c r="C23" s="6" t="s">
        <v>404</v>
      </c>
      <c r="D23" s="16" t="s">
        <v>405</v>
      </c>
      <c r="E23" s="39">
        <v>0</v>
      </c>
      <c r="F23" s="18" t="s">
        <v>398</v>
      </c>
    </row>
    <row r="24" spans="2:6" ht="21.75" customHeight="1" x14ac:dyDescent="0.3">
      <c r="B24" s="79" t="s">
        <v>406</v>
      </c>
      <c r="C24" s="53"/>
      <c r="D24" s="53"/>
      <c r="E24" s="53"/>
      <c r="F24" s="53"/>
    </row>
    <row r="25" spans="2:6" ht="19.5" customHeight="1" x14ac:dyDescent="0.3">
      <c r="B25" s="15" t="s">
        <v>407</v>
      </c>
      <c r="C25" s="6" t="s">
        <v>408</v>
      </c>
      <c r="D25" s="16" t="s">
        <v>148</v>
      </c>
      <c r="E25" s="17" t="s">
        <v>149</v>
      </c>
      <c r="F25" s="18" t="s">
        <v>409</v>
      </c>
    </row>
    <row r="26" spans="2:6" ht="19.5" customHeight="1" x14ac:dyDescent="0.3">
      <c r="B26" s="19" t="s">
        <v>410</v>
      </c>
      <c r="C26" s="4" t="s">
        <v>411</v>
      </c>
      <c r="D26" s="16" t="s">
        <v>148</v>
      </c>
      <c r="E26" s="17" t="s">
        <v>149</v>
      </c>
      <c r="F26" s="18" t="s">
        <v>409</v>
      </c>
    </row>
  </sheetData>
  <mergeCells count="7">
    <mergeCell ref="B4:F4"/>
    <mergeCell ref="B12:F12"/>
    <mergeCell ref="B7:F7"/>
    <mergeCell ref="B24:F24"/>
    <mergeCell ref="B2:F2"/>
    <mergeCell ref="B3:F3"/>
    <mergeCell ref="B19:F19"/>
  </mergeCells>
  <conditionalFormatting sqref="E8">
    <cfRule type="expression" dxfId="4" priority="2">
      <formula>OR(E8="",E8="Yoxdur")</formula>
    </cfRule>
    <cfRule type="expression" dxfId="3" priority="3">
      <formula>E8="Var"</formula>
    </cfRule>
  </conditionalFormatting>
  <dataValidations count="1">
    <dataValidation type="list" allowBlank="1" sqref="E8 E10 E13 E16 E25:E26" xr:uid="{00000000-0002-0000-0700-000000000000}">
      <formula1>"Var,Yoxdur"</formula1>
      <formula2>0</formula2>
    </dataValidation>
  </dataValidations>
  <pageMargins left="0.4" right="0.4" top="0.5" bottom="0.5" header="0.3" footer="0.3"/>
  <pageSetup paperSize="9" fitToHeight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25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19" sqref="A19"/>
      <selection pane="bottomRight" activeCell="E13" sqref="E13"/>
    </sheetView>
  </sheetViews>
  <sheetFormatPr defaultColWidth="8.6640625" defaultRowHeight="14.4" x14ac:dyDescent="0.3"/>
  <cols>
    <col min="1" max="1" width="2" style="46" customWidth="1"/>
    <col min="2" max="2" width="5" style="46" customWidth="1"/>
    <col min="3" max="3" width="30" style="46" customWidth="1"/>
    <col min="4" max="4" width="22" style="46" customWidth="1"/>
    <col min="5" max="5" width="54.33203125" style="46" customWidth="1"/>
    <col min="6" max="6" width="22" style="46" customWidth="1"/>
    <col min="7" max="7" width="2" style="46" customWidth="1"/>
  </cols>
  <sheetData>
    <row r="1" spans="2:6" ht="4.5" customHeight="1" x14ac:dyDescent="0.3"/>
    <row r="2" spans="2:6" ht="31.5" customHeight="1" x14ac:dyDescent="0.3">
      <c r="B2" s="77" t="s">
        <v>412</v>
      </c>
      <c r="C2" s="53"/>
      <c r="D2" s="53"/>
      <c r="E2" s="53"/>
      <c r="F2" s="53"/>
    </row>
    <row r="3" spans="2:6" ht="18" customHeight="1" x14ac:dyDescent="0.3">
      <c r="B3" s="80" t="s">
        <v>413</v>
      </c>
      <c r="C3" s="53"/>
      <c r="D3" s="53"/>
      <c r="E3" s="53"/>
      <c r="F3" s="53"/>
    </row>
    <row r="4" spans="2:6" ht="15.75" customHeight="1" x14ac:dyDescent="0.3">
      <c r="B4" s="78" t="s">
        <v>100</v>
      </c>
      <c r="C4" s="53"/>
      <c r="D4" s="53"/>
      <c r="E4" s="53"/>
      <c r="F4" s="53"/>
    </row>
    <row r="5" spans="2:6" ht="6" customHeight="1" x14ac:dyDescent="0.3"/>
    <row r="6" spans="2:6" ht="31.5" customHeight="1" x14ac:dyDescent="0.3">
      <c r="B6" s="14" t="s">
        <v>101</v>
      </c>
      <c r="C6" s="14" t="s">
        <v>102</v>
      </c>
      <c r="D6" s="14" t="s">
        <v>103</v>
      </c>
      <c r="E6" s="14" t="s">
        <v>104</v>
      </c>
      <c r="F6" s="14" t="s">
        <v>105</v>
      </c>
    </row>
    <row r="7" spans="2:6" ht="21.75" customHeight="1" x14ac:dyDescent="0.3">
      <c r="B7" s="79" t="s">
        <v>414</v>
      </c>
      <c r="C7" s="53"/>
      <c r="D7" s="53"/>
      <c r="E7" s="53"/>
      <c r="F7" s="53"/>
    </row>
    <row r="8" spans="2:6" ht="19.5" customHeight="1" x14ac:dyDescent="0.3">
      <c r="B8" s="19" t="s">
        <v>415</v>
      </c>
      <c r="C8" s="4" t="s">
        <v>416</v>
      </c>
      <c r="D8" s="16" t="s">
        <v>148</v>
      </c>
      <c r="E8" s="17" t="s">
        <v>149</v>
      </c>
      <c r="F8" s="18" t="s">
        <v>417</v>
      </c>
    </row>
    <row r="9" spans="2:6" ht="19.5" customHeight="1" x14ac:dyDescent="0.3">
      <c r="B9" s="15" t="s">
        <v>418</v>
      </c>
      <c r="C9" s="6" t="s">
        <v>419</v>
      </c>
      <c r="D9" s="16" t="s">
        <v>108</v>
      </c>
      <c r="E9" s="17" t="s">
        <v>420</v>
      </c>
      <c r="F9" s="18" t="s">
        <v>417</v>
      </c>
    </row>
    <row r="10" spans="2:6" ht="19.5" customHeight="1" x14ac:dyDescent="0.3">
      <c r="B10" s="19" t="s">
        <v>421</v>
      </c>
      <c r="C10" s="4" t="s">
        <v>422</v>
      </c>
      <c r="D10" s="16" t="s">
        <v>108</v>
      </c>
      <c r="E10" s="17" t="s">
        <v>423</v>
      </c>
      <c r="F10" s="18" t="s">
        <v>417</v>
      </c>
    </row>
    <row r="11" spans="2:6" ht="19.5" customHeight="1" x14ac:dyDescent="0.3">
      <c r="B11" s="15" t="s">
        <v>424</v>
      </c>
      <c r="C11" s="6" t="s">
        <v>425</v>
      </c>
      <c r="D11" s="16" t="s">
        <v>176</v>
      </c>
      <c r="E11" s="22" t="s">
        <v>426</v>
      </c>
      <c r="F11" s="18" t="s">
        <v>417</v>
      </c>
    </row>
    <row r="12" spans="2:6" ht="19.5" customHeight="1" x14ac:dyDescent="0.3">
      <c r="B12" s="19" t="s">
        <v>427</v>
      </c>
      <c r="C12" s="4" t="s">
        <v>428</v>
      </c>
      <c r="D12" s="16" t="s">
        <v>156</v>
      </c>
      <c r="E12" s="21" t="s">
        <v>429</v>
      </c>
      <c r="F12" s="18" t="s">
        <v>417</v>
      </c>
    </row>
    <row r="13" spans="2:6" ht="19.5" customHeight="1" x14ac:dyDescent="0.3">
      <c r="B13" s="15" t="s">
        <v>430</v>
      </c>
      <c r="C13" s="6" t="s">
        <v>431</v>
      </c>
      <c r="D13" s="16" t="s">
        <v>148</v>
      </c>
      <c r="E13" s="17" t="s">
        <v>149</v>
      </c>
      <c r="F13" s="18" t="s">
        <v>417</v>
      </c>
    </row>
    <row r="14" spans="2:6" ht="19.5" customHeight="1" x14ac:dyDescent="0.3">
      <c r="B14" s="19" t="s">
        <v>432</v>
      </c>
      <c r="C14" s="4" t="s">
        <v>425</v>
      </c>
      <c r="D14" s="16" t="s">
        <v>176</v>
      </c>
      <c r="E14" s="22" t="s">
        <v>433</v>
      </c>
      <c r="F14" s="18" t="s">
        <v>417</v>
      </c>
    </row>
    <row r="15" spans="2:6" ht="21.75" customHeight="1" x14ac:dyDescent="0.3">
      <c r="B15" s="79" t="s">
        <v>434</v>
      </c>
      <c r="C15" s="53"/>
      <c r="D15" s="53"/>
      <c r="E15" s="53"/>
      <c r="F15" s="53"/>
    </row>
    <row r="16" spans="2:6" ht="31.5" customHeight="1" x14ac:dyDescent="0.3">
      <c r="B16" s="28" t="s">
        <v>101</v>
      </c>
      <c r="C16" s="28" t="s">
        <v>435</v>
      </c>
      <c r="D16" s="28" t="s">
        <v>436</v>
      </c>
      <c r="E16" s="28" t="s">
        <v>437</v>
      </c>
      <c r="F16" s="28" t="s">
        <v>438</v>
      </c>
    </row>
    <row r="17" spans="2:6" ht="25.5" customHeight="1" x14ac:dyDescent="0.3">
      <c r="B17" s="15">
        <v>1</v>
      </c>
      <c r="C17" s="29" t="s">
        <v>439</v>
      </c>
      <c r="D17" s="29" t="s">
        <v>235</v>
      </c>
      <c r="E17" s="29" t="s">
        <v>440</v>
      </c>
      <c r="F17" s="18" t="s">
        <v>441</v>
      </c>
    </row>
    <row r="18" spans="2:6" ht="25.5" customHeight="1" x14ac:dyDescent="0.3">
      <c r="B18" s="19">
        <v>2</v>
      </c>
      <c r="C18" s="29" t="s">
        <v>442</v>
      </c>
      <c r="D18" s="29" t="s">
        <v>235</v>
      </c>
      <c r="E18" s="29" t="s">
        <v>443</v>
      </c>
      <c r="F18" s="18" t="s">
        <v>441</v>
      </c>
    </row>
    <row r="19" spans="2:6" ht="25.5" customHeight="1" x14ac:dyDescent="0.3">
      <c r="B19" s="15">
        <v>3</v>
      </c>
      <c r="C19" s="29" t="s">
        <v>242</v>
      </c>
      <c r="D19" s="29" t="s">
        <v>235</v>
      </c>
      <c r="E19" s="29" t="s">
        <v>444</v>
      </c>
      <c r="F19" s="18" t="s">
        <v>441</v>
      </c>
    </row>
    <row r="20" spans="2:6" ht="25.5" customHeight="1" x14ac:dyDescent="0.3">
      <c r="B20" s="19">
        <v>4</v>
      </c>
      <c r="C20" s="29" t="s">
        <v>245</v>
      </c>
      <c r="D20" s="29" t="s">
        <v>246</v>
      </c>
      <c r="E20" s="29" t="s">
        <v>445</v>
      </c>
      <c r="F20" s="18" t="s">
        <v>441</v>
      </c>
    </row>
    <row r="21" spans="2:6" ht="25.5" customHeight="1" x14ac:dyDescent="0.3">
      <c r="B21" s="15">
        <v>5</v>
      </c>
      <c r="C21" s="29" t="s">
        <v>253</v>
      </c>
      <c r="D21" s="29" t="s">
        <v>446</v>
      </c>
      <c r="E21" s="29" t="s">
        <v>447</v>
      </c>
      <c r="F21" s="18" t="s">
        <v>441</v>
      </c>
    </row>
    <row r="22" spans="2:6" ht="25.5" customHeight="1" x14ac:dyDescent="0.3">
      <c r="B22" s="19">
        <v>6</v>
      </c>
      <c r="C22" s="29" t="s">
        <v>268</v>
      </c>
      <c r="D22" s="29" t="s">
        <v>235</v>
      </c>
      <c r="E22" s="29" t="s">
        <v>448</v>
      </c>
      <c r="F22" s="18" t="s">
        <v>441</v>
      </c>
    </row>
    <row r="23" spans="2:6" ht="25.5" customHeight="1" x14ac:dyDescent="0.3">
      <c r="B23" s="15">
        <v>7</v>
      </c>
      <c r="C23" s="29" t="s">
        <v>255</v>
      </c>
      <c r="D23" s="29" t="s">
        <v>248</v>
      </c>
      <c r="E23" s="29" t="s">
        <v>449</v>
      </c>
      <c r="F23" s="18" t="s">
        <v>441</v>
      </c>
    </row>
    <row r="24" spans="2:6" ht="25.5" customHeight="1" x14ac:dyDescent="0.3">
      <c r="B24" s="19">
        <v>8</v>
      </c>
      <c r="C24" s="29" t="s">
        <v>450</v>
      </c>
      <c r="D24" s="29" t="s">
        <v>235</v>
      </c>
      <c r="E24" s="29" t="s">
        <v>451</v>
      </c>
      <c r="F24" s="18" t="s">
        <v>441</v>
      </c>
    </row>
    <row r="25" spans="2:6" ht="24" customHeight="1" x14ac:dyDescent="0.3">
      <c r="B25" s="88" t="s">
        <v>452</v>
      </c>
      <c r="C25" s="83"/>
      <c r="D25" s="55"/>
      <c r="E25" s="50">
        <f>COUNTA(C17:C24)</f>
        <v>8</v>
      </c>
      <c r="F25" s="40" t="s">
        <v>453</v>
      </c>
    </row>
  </sheetData>
  <mergeCells count="6">
    <mergeCell ref="B25:D25"/>
    <mergeCell ref="B4:F4"/>
    <mergeCell ref="B7:F7"/>
    <mergeCell ref="B2:F2"/>
    <mergeCell ref="B15:F15"/>
    <mergeCell ref="B3:F3"/>
  </mergeCells>
  <dataValidations count="1">
    <dataValidation type="list" allowBlank="1" sqref="E8 E13" xr:uid="{00000000-0002-0000-0800-000000000000}">
      <formula1>"Var,Yoxdur"</formula1>
      <formula2>0</formula2>
    </dataValidation>
  </dataValidations>
  <pageMargins left="0.4" right="0.4" top="0.5" bottom="0.5" header="0.3" footer="0.3"/>
  <pageSetup paperSize="9" fitToHeight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46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22" sqref="F22"/>
    </sheetView>
  </sheetViews>
  <sheetFormatPr defaultColWidth="8.6640625" defaultRowHeight="14.4" x14ac:dyDescent="0.3"/>
  <cols>
    <col min="1" max="1" width="2" style="46" customWidth="1"/>
    <col min="2" max="2" width="10" style="46" customWidth="1"/>
    <col min="3" max="3" width="52" style="46" customWidth="1"/>
    <col min="4" max="4" width="12" style="46" customWidth="1"/>
    <col min="5" max="5" width="14" style="46" customWidth="1"/>
    <col min="6" max="6" width="53.77734375" style="46" customWidth="1"/>
    <col min="7" max="7" width="2" style="46" customWidth="1"/>
  </cols>
  <sheetData>
    <row r="1" spans="2:6" ht="4.5" customHeight="1" x14ac:dyDescent="0.3"/>
    <row r="2" spans="2:6" ht="36" customHeight="1" x14ac:dyDescent="0.3">
      <c r="B2" s="77" t="s">
        <v>454</v>
      </c>
      <c r="C2" s="53"/>
      <c r="D2" s="53"/>
      <c r="E2" s="53"/>
      <c r="F2" s="53"/>
    </row>
    <row r="3" spans="2:6" ht="19.5" customHeight="1" x14ac:dyDescent="0.3">
      <c r="B3" s="80" t="s">
        <v>455</v>
      </c>
      <c r="C3" s="53"/>
      <c r="D3" s="53"/>
      <c r="E3" s="53"/>
      <c r="F3" s="53"/>
    </row>
    <row r="4" spans="2:6" ht="15.75" customHeight="1" x14ac:dyDescent="0.3">
      <c r="B4" s="78" t="s">
        <v>456</v>
      </c>
      <c r="C4" s="53"/>
      <c r="D4" s="53"/>
      <c r="E4" s="53"/>
      <c r="F4" s="53"/>
    </row>
    <row r="5" spans="2:6" ht="6" customHeight="1" x14ac:dyDescent="0.3"/>
    <row r="6" spans="2:6" ht="31.5" customHeight="1" x14ac:dyDescent="0.3">
      <c r="B6" s="14" t="s">
        <v>457</v>
      </c>
      <c r="C6" s="14" t="s">
        <v>458</v>
      </c>
      <c r="D6" s="14" t="s">
        <v>459</v>
      </c>
      <c r="E6" s="14" t="s">
        <v>460</v>
      </c>
      <c r="F6" s="14" t="s">
        <v>461</v>
      </c>
    </row>
    <row r="7" spans="2:6" ht="21.75" customHeight="1" x14ac:dyDescent="0.3">
      <c r="B7" s="79" t="s">
        <v>462</v>
      </c>
      <c r="C7" s="53"/>
      <c r="D7" s="53"/>
      <c r="E7" s="53"/>
      <c r="F7" s="53"/>
    </row>
    <row r="8" spans="2:6" ht="21.75" customHeight="1" x14ac:dyDescent="0.3">
      <c r="B8" s="41" t="s">
        <v>110</v>
      </c>
      <c r="C8" s="4" t="s">
        <v>463</v>
      </c>
      <c r="D8" s="42" t="s">
        <v>464</v>
      </c>
      <c r="E8" s="51" t="s">
        <v>465</v>
      </c>
      <c r="F8" s="43" t="s">
        <v>466</v>
      </c>
    </row>
    <row r="9" spans="2:6" ht="21.75" customHeight="1" x14ac:dyDescent="0.3">
      <c r="B9" s="41" t="s">
        <v>115</v>
      </c>
      <c r="C9" s="6" t="s">
        <v>467</v>
      </c>
      <c r="D9" s="42" t="s">
        <v>464</v>
      </c>
      <c r="E9" s="51" t="s">
        <v>465</v>
      </c>
      <c r="F9" s="43" t="s">
        <v>468</v>
      </c>
    </row>
    <row r="10" spans="2:6" ht="21.75" customHeight="1" x14ac:dyDescent="0.3">
      <c r="B10" s="41" t="s">
        <v>126</v>
      </c>
      <c r="C10" s="4" t="s">
        <v>469</v>
      </c>
      <c r="D10" s="42" t="s">
        <v>464</v>
      </c>
      <c r="E10" s="51" t="s">
        <v>465</v>
      </c>
      <c r="F10" s="43" t="s">
        <v>470</v>
      </c>
    </row>
    <row r="11" spans="2:6" ht="21.75" customHeight="1" x14ac:dyDescent="0.3">
      <c r="B11" s="41" t="s">
        <v>150</v>
      </c>
      <c r="C11" s="6" t="s">
        <v>471</v>
      </c>
      <c r="D11" s="42" t="s">
        <v>464</v>
      </c>
      <c r="E11" s="51" t="s">
        <v>465</v>
      </c>
      <c r="F11" s="43" t="s">
        <v>472</v>
      </c>
    </row>
    <row r="12" spans="2:6" ht="21.75" customHeight="1" x14ac:dyDescent="0.3">
      <c r="B12" s="41" t="s">
        <v>163</v>
      </c>
      <c r="C12" s="4" t="s">
        <v>473</v>
      </c>
      <c r="D12" s="42" t="s">
        <v>464</v>
      </c>
      <c r="E12" s="51" t="s">
        <v>465</v>
      </c>
      <c r="F12" s="43" t="s">
        <v>474</v>
      </c>
    </row>
    <row r="13" spans="2:6" ht="21.75" customHeight="1" x14ac:dyDescent="0.3">
      <c r="B13" s="41" t="s">
        <v>173</v>
      </c>
      <c r="C13" s="6" t="s">
        <v>475</v>
      </c>
      <c r="D13" s="44" t="s">
        <v>476</v>
      </c>
      <c r="E13" s="51" t="s">
        <v>465</v>
      </c>
      <c r="F13" s="43" t="s">
        <v>477</v>
      </c>
    </row>
    <row r="14" spans="2:6" ht="21.75" customHeight="1" x14ac:dyDescent="0.3">
      <c r="B14" s="41" t="s">
        <v>181</v>
      </c>
      <c r="C14" s="4" t="s">
        <v>478</v>
      </c>
      <c r="D14" s="44" t="s">
        <v>476</v>
      </c>
      <c r="E14" s="51" t="s">
        <v>465</v>
      </c>
      <c r="F14" s="43" t="s">
        <v>479</v>
      </c>
    </row>
    <row r="15" spans="2:6" ht="21.75" customHeight="1" x14ac:dyDescent="0.3">
      <c r="B15" s="79" t="s">
        <v>480</v>
      </c>
      <c r="C15" s="53"/>
      <c r="D15" s="53"/>
      <c r="E15" s="53"/>
      <c r="F15" s="53"/>
    </row>
    <row r="16" spans="2:6" ht="21.75" customHeight="1" x14ac:dyDescent="0.3">
      <c r="B16" s="41" t="s">
        <v>187</v>
      </c>
      <c r="C16" s="4" t="s">
        <v>481</v>
      </c>
      <c r="D16" s="42" t="s">
        <v>464</v>
      </c>
      <c r="E16" s="51" t="s">
        <v>465</v>
      </c>
      <c r="F16" s="43" t="s">
        <v>482</v>
      </c>
    </row>
    <row r="17" spans="2:6" ht="21.75" customHeight="1" x14ac:dyDescent="0.3">
      <c r="B17" s="41" t="s">
        <v>197</v>
      </c>
      <c r="C17" s="6" t="s">
        <v>483</v>
      </c>
      <c r="D17" s="42" t="s">
        <v>464</v>
      </c>
      <c r="E17" s="51" t="s">
        <v>465</v>
      </c>
      <c r="F17" s="43" t="s">
        <v>484</v>
      </c>
    </row>
    <row r="18" spans="2:6" ht="21.75" customHeight="1" x14ac:dyDescent="0.3">
      <c r="B18" s="41" t="s">
        <v>208</v>
      </c>
      <c r="C18" s="4" t="s">
        <v>485</v>
      </c>
      <c r="D18" s="44" t="s">
        <v>476</v>
      </c>
      <c r="E18" s="51" t="s">
        <v>465</v>
      </c>
      <c r="F18" s="43" t="s">
        <v>486</v>
      </c>
    </row>
    <row r="19" spans="2:6" ht="21.75" customHeight="1" x14ac:dyDescent="0.3">
      <c r="B19" s="41" t="s">
        <v>216</v>
      </c>
      <c r="C19" s="6" t="s">
        <v>487</v>
      </c>
      <c r="D19" s="44" t="s">
        <v>476</v>
      </c>
      <c r="E19" s="51" t="s">
        <v>465</v>
      </c>
      <c r="F19" s="43" t="s">
        <v>488</v>
      </c>
    </row>
    <row r="20" spans="2:6" ht="21.75" customHeight="1" x14ac:dyDescent="0.3">
      <c r="B20" s="79" t="s">
        <v>489</v>
      </c>
      <c r="C20" s="53"/>
      <c r="D20" s="53"/>
      <c r="E20" s="53"/>
      <c r="F20" s="53"/>
    </row>
    <row r="21" spans="2:6" ht="32.25" customHeight="1" x14ac:dyDescent="0.3">
      <c r="B21" s="41" t="s">
        <v>490</v>
      </c>
      <c r="C21" s="6" t="s">
        <v>491</v>
      </c>
      <c r="D21" s="42" t="s">
        <v>464</v>
      </c>
      <c r="E21" s="51" t="s">
        <v>465</v>
      </c>
      <c r="F21" s="43" t="s">
        <v>548</v>
      </c>
    </row>
    <row r="22" spans="2:6" ht="21.75" customHeight="1" x14ac:dyDescent="0.3">
      <c r="B22" s="41" t="s">
        <v>274</v>
      </c>
      <c r="C22" s="4" t="s">
        <v>492</v>
      </c>
      <c r="D22" s="44" t="s">
        <v>476</v>
      </c>
      <c r="E22" s="51" t="s">
        <v>465</v>
      </c>
      <c r="F22" s="43" t="s">
        <v>493</v>
      </c>
    </row>
    <row r="23" spans="2:6" ht="21.75" customHeight="1" x14ac:dyDescent="0.3">
      <c r="B23" s="79" t="s">
        <v>494</v>
      </c>
      <c r="C23" s="53"/>
      <c r="D23" s="53"/>
      <c r="E23" s="53"/>
      <c r="F23" s="53"/>
    </row>
    <row r="24" spans="2:6" ht="21.75" customHeight="1" x14ac:dyDescent="0.3">
      <c r="B24" s="41" t="s">
        <v>287</v>
      </c>
      <c r="C24" s="4" t="s">
        <v>495</v>
      </c>
      <c r="D24" s="44" t="s">
        <v>476</v>
      </c>
      <c r="E24" s="51" t="s">
        <v>465</v>
      </c>
      <c r="F24" s="43" t="s">
        <v>496</v>
      </c>
    </row>
    <row r="25" spans="2:6" ht="21.75" customHeight="1" x14ac:dyDescent="0.3">
      <c r="B25" s="41" t="s">
        <v>302</v>
      </c>
      <c r="C25" s="6" t="s">
        <v>497</v>
      </c>
      <c r="D25" s="44" t="s">
        <v>476</v>
      </c>
      <c r="E25" s="51" t="s">
        <v>465</v>
      </c>
      <c r="F25" s="43" t="s">
        <v>498</v>
      </c>
    </row>
    <row r="26" spans="2:6" ht="21.75" customHeight="1" x14ac:dyDescent="0.3">
      <c r="B26" s="41" t="s">
        <v>314</v>
      </c>
      <c r="C26" s="4" t="s">
        <v>499</v>
      </c>
      <c r="D26" s="44" t="s">
        <v>476</v>
      </c>
      <c r="E26" s="51" t="s">
        <v>465</v>
      </c>
      <c r="F26" s="43" t="s">
        <v>500</v>
      </c>
    </row>
    <row r="27" spans="2:6" ht="21.75" customHeight="1" x14ac:dyDescent="0.3">
      <c r="B27" s="79" t="s">
        <v>501</v>
      </c>
      <c r="C27" s="53"/>
      <c r="D27" s="53"/>
      <c r="E27" s="53"/>
      <c r="F27" s="53"/>
    </row>
    <row r="28" spans="2:6" ht="21.75" customHeight="1" x14ac:dyDescent="0.3">
      <c r="B28" s="41" t="s">
        <v>327</v>
      </c>
      <c r="C28" s="4" t="s">
        <v>502</v>
      </c>
      <c r="D28" s="42" t="s">
        <v>464</v>
      </c>
      <c r="E28" s="51" t="s">
        <v>465</v>
      </c>
      <c r="F28" s="43" t="s">
        <v>503</v>
      </c>
    </row>
    <row r="29" spans="2:6" ht="21.75" customHeight="1" x14ac:dyDescent="0.3">
      <c r="B29" s="41" t="s">
        <v>335</v>
      </c>
      <c r="C29" s="6" t="s">
        <v>504</v>
      </c>
      <c r="D29" s="44" t="s">
        <v>476</v>
      </c>
      <c r="E29" s="51" t="s">
        <v>465</v>
      </c>
      <c r="F29" s="43" t="s">
        <v>505</v>
      </c>
    </row>
    <row r="30" spans="2:6" ht="21.75" customHeight="1" x14ac:dyDescent="0.3">
      <c r="B30" s="41" t="s">
        <v>354</v>
      </c>
      <c r="C30" s="4" t="s">
        <v>506</v>
      </c>
      <c r="D30" s="44" t="s">
        <v>476</v>
      </c>
      <c r="E30" s="51" t="s">
        <v>465</v>
      </c>
      <c r="F30" s="43" t="s">
        <v>507</v>
      </c>
    </row>
    <row r="31" spans="2:6" ht="21.75" customHeight="1" x14ac:dyDescent="0.3">
      <c r="B31" s="41" t="s">
        <v>363</v>
      </c>
      <c r="C31" s="6" t="s">
        <v>508</v>
      </c>
      <c r="D31" s="44" t="s">
        <v>476</v>
      </c>
      <c r="E31" s="51" t="s">
        <v>509</v>
      </c>
      <c r="F31" s="43"/>
    </row>
    <row r="32" spans="2:6" ht="21.75" customHeight="1" x14ac:dyDescent="0.3">
      <c r="B32" s="79" t="s">
        <v>510</v>
      </c>
      <c r="C32" s="53"/>
      <c r="D32" s="53"/>
      <c r="E32" s="53"/>
      <c r="F32" s="53"/>
    </row>
    <row r="33" spans="2:6" ht="21.75" customHeight="1" x14ac:dyDescent="0.3">
      <c r="B33" s="41" t="s">
        <v>371</v>
      </c>
      <c r="C33" s="6" t="s">
        <v>511</v>
      </c>
      <c r="D33" s="42" t="s">
        <v>464</v>
      </c>
      <c r="E33" s="51" t="s">
        <v>465</v>
      </c>
      <c r="F33" s="43" t="s">
        <v>512</v>
      </c>
    </row>
    <row r="34" spans="2:6" ht="21.75" customHeight="1" x14ac:dyDescent="0.3">
      <c r="B34" s="41" t="s">
        <v>376</v>
      </c>
      <c r="C34" s="4" t="s">
        <v>513</v>
      </c>
      <c r="D34" s="44" t="s">
        <v>476</v>
      </c>
      <c r="E34" s="51" t="s">
        <v>465</v>
      </c>
      <c r="F34" s="43" t="s">
        <v>514</v>
      </c>
    </row>
    <row r="35" spans="2:6" ht="21.75" customHeight="1" x14ac:dyDescent="0.3">
      <c r="B35" s="41" t="s">
        <v>383</v>
      </c>
      <c r="C35" s="6" t="s">
        <v>515</v>
      </c>
      <c r="D35" s="44" t="s">
        <v>476</v>
      </c>
      <c r="E35" s="51" t="s">
        <v>465</v>
      </c>
      <c r="F35" s="43" t="s">
        <v>516</v>
      </c>
    </row>
    <row r="36" spans="2:6" ht="21.75" customHeight="1" x14ac:dyDescent="0.3">
      <c r="B36" s="41" t="s">
        <v>391</v>
      </c>
      <c r="C36" s="4" t="s">
        <v>517</v>
      </c>
      <c r="D36" s="44" t="s">
        <v>476</v>
      </c>
      <c r="E36" s="51" t="s">
        <v>465</v>
      </c>
      <c r="F36" s="43" t="s">
        <v>518</v>
      </c>
    </row>
    <row r="37" spans="2:6" ht="21.75" customHeight="1" x14ac:dyDescent="0.3">
      <c r="B37" s="41" t="s">
        <v>398</v>
      </c>
      <c r="C37" s="6" t="s">
        <v>519</v>
      </c>
      <c r="D37" s="44" t="s">
        <v>476</v>
      </c>
      <c r="E37" s="51" t="s">
        <v>465</v>
      </c>
      <c r="F37" s="43" t="s">
        <v>520</v>
      </c>
    </row>
    <row r="38" spans="2:6" ht="21.75" customHeight="1" x14ac:dyDescent="0.3">
      <c r="B38" s="41" t="s">
        <v>409</v>
      </c>
      <c r="C38" s="4" t="s">
        <v>521</v>
      </c>
      <c r="D38" s="44" t="s">
        <v>476</v>
      </c>
      <c r="E38" s="51" t="s">
        <v>465</v>
      </c>
      <c r="F38" s="43" t="s">
        <v>522</v>
      </c>
    </row>
    <row r="39" spans="2:6" ht="21.75" customHeight="1" x14ac:dyDescent="0.3">
      <c r="B39" s="79" t="s">
        <v>523</v>
      </c>
      <c r="C39" s="53"/>
      <c r="D39" s="53"/>
      <c r="E39" s="53"/>
      <c r="F39" s="53"/>
    </row>
    <row r="40" spans="2:6" ht="21.75" customHeight="1" x14ac:dyDescent="0.3">
      <c r="B40" s="41" t="s">
        <v>417</v>
      </c>
      <c r="C40" s="4" t="s">
        <v>524</v>
      </c>
      <c r="D40" s="44" t="s">
        <v>476</v>
      </c>
      <c r="E40" s="51" t="s">
        <v>465</v>
      </c>
      <c r="F40" s="43" t="s">
        <v>525</v>
      </c>
    </row>
    <row r="41" spans="2:6" ht="21.75" customHeight="1" x14ac:dyDescent="0.3">
      <c r="B41" s="41" t="s">
        <v>441</v>
      </c>
      <c r="C41" s="6" t="s">
        <v>526</v>
      </c>
      <c r="D41" s="42" t="s">
        <v>464</v>
      </c>
      <c r="E41" s="51" t="s">
        <v>465</v>
      </c>
      <c r="F41" s="43" t="s">
        <v>527</v>
      </c>
    </row>
    <row r="42" spans="2:6" ht="21.75" customHeight="1" x14ac:dyDescent="0.3">
      <c r="B42" s="79" t="s">
        <v>528</v>
      </c>
      <c r="C42" s="53"/>
      <c r="D42" s="53"/>
      <c r="E42" s="53"/>
      <c r="F42" s="53"/>
    </row>
    <row r="43" spans="2:6" ht="21.75" customHeight="1" x14ac:dyDescent="0.3">
      <c r="B43" s="41" t="s">
        <v>529</v>
      </c>
      <c r="C43" s="6" t="s">
        <v>530</v>
      </c>
      <c r="D43" s="42" t="s">
        <v>464</v>
      </c>
      <c r="E43" s="51" t="s">
        <v>465</v>
      </c>
      <c r="F43" s="43" t="s">
        <v>531</v>
      </c>
    </row>
    <row r="44" spans="2:6" ht="21.75" customHeight="1" x14ac:dyDescent="0.3">
      <c r="B44" s="41" t="s">
        <v>532</v>
      </c>
      <c r="C44" s="4" t="s">
        <v>533</v>
      </c>
      <c r="D44" s="42" t="s">
        <v>464</v>
      </c>
      <c r="E44" s="51" t="s">
        <v>465</v>
      </c>
      <c r="F44" s="43" t="s">
        <v>534</v>
      </c>
    </row>
    <row r="46" spans="2:6" ht="27.75" customHeight="1" x14ac:dyDescent="0.3">
      <c r="B46" s="94" t="s">
        <v>535</v>
      </c>
      <c r="C46" s="93"/>
      <c r="D46" s="45" t="str">
        <f>COUNTIF(E7:E45,"Hazır")&amp;" / "&amp;COUNTA(B7:B45)-COUNTIF(B7:B45,"=""")</f>
        <v>29 / 38</v>
      </c>
      <c r="E46" s="92">
        <f>IFERROR(COUNTIF(E7:E45,"Hazır")/(ROWS(B7:B45)-COUNTBLANK(B7:B45)-8),0)</f>
        <v>0.96666666666666667</v>
      </c>
      <c r="F46" s="93"/>
    </row>
  </sheetData>
  <mergeCells count="13">
    <mergeCell ref="B4:F4"/>
    <mergeCell ref="B7:F7"/>
    <mergeCell ref="B39:F39"/>
    <mergeCell ref="B2:F2"/>
    <mergeCell ref="E46:F46"/>
    <mergeCell ref="B20:F20"/>
    <mergeCell ref="B15:F15"/>
    <mergeCell ref="B42:F42"/>
    <mergeCell ref="B3:F3"/>
    <mergeCell ref="B46:C46"/>
    <mergeCell ref="B23:F23"/>
    <mergeCell ref="B32:F32"/>
    <mergeCell ref="B27:F27"/>
  </mergeCells>
  <conditionalFormatting sqref="E7:E44">
    <cfRule type="expression" dxfId="2" priority="2">
      <formula>E7="Hazır"</formula>
    </cfRule>
    <cfRule type="expression" dxfId="1" priority="3">
      <formula>E7="Hazırlanır"</formula>
    </cfRule>
    <cfRule type="expression" dxfId="0" priority="4">
      <formula>E7="Aidiyyatsız"</formula>
    </cfRule>
  </conditionalFormatting>
  <dataValidations count="1">
    <dataValidation type="list" allowBlank="1" sqref="E7:E44" xr:uid="{00000000-0002-0000-0900-000000000000}">
      <formula1>"Hazır,Hazırlanır,Aidiyyatsız"</formula1>
      <formula2>0</formula2>
    </dataValidation>
  </dataValidations>
  <pageMargins left="0.4" right="0.4" top="0.5" bottom="0.5" header="0.3" footer="0.3"/>
  <pageSetup paperSize="9" fitToHeight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E24"/>
  <sheetViews>
    <sheetView showGridLines="0" topLeftCell="A10" zoomScaleNormal="100" workbookViewId="0">
      <selection activeCell="D20" sqref="D20"/>
    </sheetView>
  </sheetViews>
  <sheetFormatPr defaultColWidth="8.6640625" defaultRowHeight="14.4" x14ac:dyDescent="0.3"/>
  <cols>
    <col min="1" max="1" width="2" style="46" customWidth="1"/>
    <col min="2" max="2" width="8" style="46" customWidth="1"/>
    <col min="3" max="3" width="52" style="46" customWidth="1"/>
    <col min="4" max="4" width="30" style="46" customWidth="1"/>
    <col min="5" max="5" width="2" style="46" customWidth="1"/>
  </cols>
  <sheetData>
    <row r="1" spans="2:4" ht="4.5" customHeight="1" x14ac:dyDescent="0.3"/>
    <row r="2" spans="2:4" ht="36" customHeight="1" x14ac:dyDescent="0.3">
      <c r="B2" s="77" t="s">
        <v>536</v>
      </c>
      <c r="C2" s="53"/>
      <c r="D2" s="53"/>
    </row>
    <row r="3" spans="2:4" ht="19.5" customHeight="1" x14ac:dyDescent="0.3">
      <c r="B3" s="75" t="s">
        <v>537</v>
      </c>
      <c r="C3" s="53"/>
      <c r="D3" s="53"/>
    </row>
    <row r="4" spans="2:4" ht="12" customHeight="1" x14ac:dyDescent="0.3"/>
    <row r="5" spans="2:4" ht="21.75" customHeight="1" x14ac:dyDescent="0.3">
      <c r="B5" s="58" t="s">
        <v>538</v>
      </c>
      <c r="C5" s="53"/>
      <c r="D5" s="53"/>
    </row>
    <row r="6" spans="2:4" ht="21.75" customHeight="1" x14ac:dyDescent="0.3">
      <c r="B6" s="64" t="s">
        <v>539</v>
      </c>
      <c r="C6" s="65"/>
      <c r="D6" s="66"/>
    </row>
    <row r="7" spans="2:4" ht="21.75" customHeight="1" x14ac:dyDescent="0.3">
      <c r="B7" s="67"/>
      <c r="C7" s="53"/>
      <c r="D7" s="68"/>
    </row>
    <row r="8" spans="2:4" ht="21.75" customHeight="1" x14ac:dyDescent="0.3">
      <c r="B8" s="67"/>
      <c r="C8" s="53"/>
      <c r="D8" s="68"/>
    </row>
    <row r="9" spans="2:4" ht="21.75" customHeight="1" x14ac:dyDescent="0.3">
      <c r="B9" s="67"/>
      <c r="C9" s="53"/>
      <c r="D9" s="68"/>
    </row>
    <row r="10" spans="2:4" ht="21.75" customHeight="1" x14ac:dyDescent="0.3">
      <c r="B10" s="67"/>
      <c r="C10" s="53"/>
      <c r="D10" s="68"/>
    </row>
    <row r="11" spans="2:4" ht="21.75" customHeight="1" x14ac:dyDescent="0.3">
      <c r="B11" s="67"/>
      <c r="C11" s="53"/>
      <c r="D11" s="68"/>
    </row>
    <row r="12" spans="2:4" ht="21.75" customHeight="1" x14ac:dyDescent="0.3">
      <c r="B12" s="69"/>
      <c r="C12" s="70"/>
      <c r="D12" s="71"/>
    </row>
    <row r="13" spans="2:4" ht="15.75" customHeight="1" x14ac:dyDescent="0.3"/>
    <row r="14" spans="2:4" ht="21.75" customHeight="1" x14ac:dyDescent="0.3">
      <c r="B14" s="59" t="s">
        <v>540</v>
      </c>
      <c r="C14" s="53"/>
      <c r="D14" s="53"/>
    </row>
    <row r="15" spans="2:4" ht="21.75" customHeight="1" x14ac:dyDescent="0.3">
      <c r="B15" s="9"/>
      <c r="C15" s="1" t="s">
        <v>541</v>
      </c>
      <c r="D15" s="48" t="str">
        <f>'2. A. Şirkət Profili'!E7</f>
        <v>VVESA MMC</v>
      </c>
    </row>
    <row r="16" spans="2:4" ht="21.75" customHeight="1" x14ac:dyDescent="0.3">
      <c r="B16" s="9"/>
      <c r="C16" s="1" t="s">
        <v>18</v>
      </c>
      <c r="D16" s="48" t="str">
        <f>'2. A. Şirkət Profili'!E9</f>
        <v>1003915341</v>
      </c>
    </row>
    <row r="17" spans="2:4" ht="21.75" customHeight="1" x14ac:dyDescent="0.3">
      <c r="B17" s="9"/>
      <c r="C17" s="1" t="s">
        <v>542</v>
      </c>
      <c r="D17" s="47" t="s">
        <v>129</v>
      </c>
    </row>
    <row r="18" spans="2:4" ht="21.75" customHeight="1" x14ac:dyDescent="0.3">
      <c r="B18" s="9"/>
      <c r="C18" s="1" t="s">
        <v>543</v>
      </c>
      <c r="D18" s="47" t="s">
        <v>133</v>
      </c>
    </row>
    <row r="19" spans="2:4" ht="21.75" customHeight="1" x14ac:dyDescent="0.3">
      <c r="B19" s="9"/>
      <c r="C19" s="1" t="s">
        <v>544</v>
      </c>
      <c r="D19" s="49">
        <v>46139</v>
      </c>
    </row>
    <row r="20" spans="2:4" ht="27.75" customHeight="1" x14ac:dyDescent="0.3">
      <c r="B20" s="9"/>
      <c r="C20" s="1" t="s">
        <v>545</v>
      </c>
      <c r="D20" s="47"/>
    </row>
    <row r="21" spans="2:4" ht="27.75" customHeight="1" x14ac:dyDescent="0.3">
      <c r="B21" s="9"/>
      <c r="C21" s="1" t="s">
        <v>546</v>
      </c>
      <c r="D21" s="47"/>
    </row>
    <row r="22" spans="2:4" ht="12" customHeight="1" x14ac:dyDescent="0.3"/>
    <row r="23" spans="2:4" ht="25.5" customHeight="1" x14ac:dyDescent="0.3">
      <c r="B23" s="95" t="s">
        <v>547</v>
      </c>
      <c r="C23" s="65"/>
      <c r="D23" s="65"/>
    </row>
    <row r="24" spans="2:4" ht="25.5" customHeight="1" x14ac:dyDescent="0.3">
      <c r="B24" s="67"/>
      <c r="C24" s="53"/>
      <c r="D24" s="53"/>
    </row>
  </sheetData>
  <mergeCells count="6">
    <mergeCell ref="B2:D2"/>
    <mergeCell ref="B3:D3"/>
    <mergeCell ref="B5:D5"/>
    <mergeCell ref="B14:D14"/>
    <mergeCell ref="B6:D12"/>
    <mergeCell ref="B23:D24"/>
  </mergeCells>
  <pageMargins left="0.4" right="0.4" top="0.5" bottom="0.5" header="0.3" footer="0.3"/>
  <pageSetup paperSize="9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0. Üz Səhifə</vt:lpstr>
      <vt:lpstr>1. Təlimat</vt:lpstr>
      <vt:lpstr>2. A. Şirkət Profili</vt:lpstr>
      <vt:lpstr>3. B. Maliyyə</vt:lpstr>
      <vt:lpstr>4. C. Texniki Təcrübə</vt:lpstr>
      <vt:lpstr>5. D. Maddi-Texniki Baza</vt:lpstr>
      <vt:lpstr>6. E. Kadr Resursları</vt:lpstr>
      <vt:lpstr>7. F. HSE və Keyfiyyət</vt:lpstr>
      <vt:lpstr>8. G. Sığorta və Referanslar</vt:lpstr>
      <vt:lpstr>9. Sənəd Siyahısı</vt:lpstr>
      <vt:lpstr>10. Bəyannamə və İmza</vt:lpstr>
      <vt:lpstr>'0. Üz Səhifə'!Print_Area</vt:lpstr>
      <vt:lpstr>'1. Təlimat'!Print_Area</vt:lpstr>
      <vt:lpstr>'10. Bəyannamə və İmza'!Print_Area</vt:lpstr>
      <vt:lpstr>'2. A. Şirkət Profili'!Print_Area</vt:lpstr>
      <vt:lpstr>'3. B. Maliyyə'!Print_Area</vt:lpstr>
      <vt:lpstr>'4. C. Texniki Təcrübə'!Print_Area</vt:lpstr>
      <vt:lpstr>'5. D. Maddi-Texniki Baza'!Print_Area</vt:lpstr>
      <vt:lpstr>'6. E. Kadr Resursları'!Print_Area</vt:lpstr>
      <vt:lpstr>'7. F. HSE və Keyfiyyət'!Print_Area</vt:lpstr>
      <vt:lpstr>'8. G. Sığorta və Referanslar'!Print_Area</vt:lpstr>
      <vt:lpstr>'9. Sənəd Siyahısı'!Print_Area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Nadir M</cp:lastModifiedBy>
  <cp:revision>0</cp:revision>
  <cp:lastPrinted>2026-04-21T11:51:24Z</cp:lastPrinted>
  <dcterms:created xsi:type="dcterms:W3CDTF">2026-04-20T08:01:38Z</dcterms:created>
  <dcterms:modified xsi:type="dcterms:W3CDTF">2026-04-28T12:39:12Z</dcterms:modified>
  <dc:language>en-US</dc:language>
</cp:coreProperties>
</file>